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#_Leo老師\591租屋\"/>
    </mc:Choice>
  </mc:AlternateContent>
  <xr:revisionPtr revIDLastSave="0" documentId="13_ncr:1_{B2FF1DBE-FB3B-49D7-8B65-EDF9BEB53AD5}" xr6:coauthVersionLast="47" xr6:coauthVersionMax="47" xr10:uidLastSave="{00000000-0000-0000-0000-000000000000}"/>
  <bookViews>
    <workbookView xWindow="-120" yWindow="-120" windowWidth="29040" windowHeight="15720" firstSheet="1" activeTab="9" xr2:uid="{DFAC77B8-7666-4ADA-A665-9A0C51D8B0D2}"/>
  </bookViews>
  <sheets>
    <sheet name="CSV假資料 (3)" sheetId="10" r:id="rId1"/>
    <sheet name="工作表6" sheetId="11" r:id="rId2"/>
    <sheet name="工作表7" sheetId="12" r:id="rId3"/>
    <sheet name="工作表9" sheetId="14" r:id="rId4"/>
    <sheet name="工作表10" sheetId="15" r:id="rId5"/>
    <sheet name="各行政區平均值" sheetId="18" r:id="rId6"/>
    <sheet name="Q10" sheetId="16" r:id="rId7"/>
    <sheet name="工作表1" sheetId="19" r:id="rId8"/>
    <sheet name="工作表2" sheetId="20" r:id="rId9"/>
    <sheet name="工作表4" sheetId="5" r:id="rId10"/>
  </sheets>
  <definedNames>
    <definedName name="_xlnm._FilterDatabase" localSheetId="9" hidden="1">工作表4!$A$1:$AC$97</definedName>
    <definedName name="_xlnm.Print_Titles" localSheetId="2">工作表7!$A:$B,工作表7!$3:$4</definedName>
    <definedName name="外部資料_1" localSheetId="0" hidden="1">'CSV假資料 (3)'!$A$1:$X$97</definedName>
  </definedNames>
  <calcPr calcId="191029"/>
  <pivotCaches>
    <pivotCache cacheId="0" r:id="rId11"/>
    <pivotCache cacheId="1" r:id="rId12"/>
    <pivotCache cacheId="2" r:id="rId13"/>
    <pivotCache cacheId="8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9" l="1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3" i="19"/>
  <c r="D5" i="19"/>
  <c r="D6" i="19"/>
  <c r="D7" i="19"/>
  <c r="D8" i="19"/>
  <c r="D9" i="19"/>
  <c r="D10" i="19"/>
  <c r="D11" i="19"/>
  <c r="D12" i="19"/>
  <c r="D13" i="19"/>
  <c r="D14" i="19"/>
  <c r="D15" i="19"/>
  <c r="D4" i="19"/>
  <c r="D6" i="16"/>
  <c r="D7" i="16"/>
  <c r="D8" i="16"/>
  <c r="D9" i="16"/>
  <c r="D10" i="16"/>
  <c r="D11" i="16"/>
  <c r="D12" i="16"/>
  <c r="D13" i="16"/>
  <c r="D5" i="16"/>
  <c r="C6" i="16"/>
  <c r="C7" i="16"/>
  <c r="C8" i="16"/>
  <c r="C9" i="16"/>
  <c r="C10" i="16"/>
  <c r="C11" i="16"/>
  <c r="C12" i="16"/>
  <c r="C13" i="16"/>
  <c r="C5" i="16"/>
  <c r="AB3" i="5"/>
  <c r="AC3" i="5" s="1"/>
  <c r="AB4" i="5"/>
  <c r="AC4" i="5" s="1"/>
  <c r="AB5" i="5"/>
  <c r="AC5" i="5" s="1"/>
  <c r="AB6" i="5"/>
  <c r="AB7" i="5"/>
  <c r="AC7" i="5" s="1"/>
  <c r="AB8" i="5"/>
  <c r="AB9" i="5"/>
  <c r="AC9" i="5" s="1"/>
  <c r="AB10" i="5"/>
  <c r="AC10" i="5" s="1"/>
  <c r="AB11" i="5"/>
  <c r="AC11" i="5" s="1"/>
  <c r="AB12" i="5"/>
  <c r="AB13" i="5"/>
  <c r="AC13" i="5" s="1"/>
  <c r="AB14" i="5"/>
  <c r="AB15" i="5"/>
  <c r="AC15" i="5" s="1"/>
  <c r="AB16" i="5"/>
  <c r="AC16" i="5" s="1"/>
  <c r="AB17" i="5"/>
  <c r="AC17" i="5" s="1"/>
  <c r="AB18" i="5"/>
  <c r="AB19" i="5"/>
  <c r="AC19" i="5" s="1"/>
  <c r="AB20" i="5"/>
  <c r="AC20" i="5" s="1"/>
  <c r="AB21" i="5"/>
  <c r="AC21" i="5" s="1"/>
  <c r="AB22" i="5"/>
  <c r="AB23" i="5"/>
  <c r="AC23" i="5" s="1"/>
  <c r="AB24" i="5"/>
  <c r="AC24" i="5" s="1"/>
  <c r="AB25" i="5"/>
  <c r="AB26" i="5"/>
  <c r="AC26" i="5" s="1"/>
  <c r="AB27" i="5"/>
  <c r="AC27" i="5" s="1"/>
  <c r="AB28" i="5"/>
  <c r="AC28" i="5" s="1"/>
  <c r="AB29" i="5"/>
  <c r="AC29" i="5" s="1"/>
  <c r="AB30" i="5"/>
  <c r="AC30" i="5" s="1"/>
  <c r="AB31" i="5"/>
  <c r="AC31" i="5" s="1"/>
  <c r="AB32" i="5"/>
  <c r="AC32" i="5" s="1"/>
  <c r="AB33" i="5"/>
  <c r="AC33" i="5" s="1"/>
  <c r="AB34" i="5"/>
  <c r="AC34" i="5" s="1"/>
  <c r="AB35" i="5"/>
  <c r="AC35" i="5" s="1"/>
  <c r="AB36" i="5"/>
  <c r="AC36" i="5" s="1"/>
  <c r="AB37" i="5"/>
  <c r="AC37" i="5" s="1"/>
  <c r="AB38" i="5"/>
  <c r="AB39" i="5"/>
  <c r="AC39" i="5" s="1"/>
  <c r="AB40" i="5"/>
  <c r="AC40" i="5" s="1"/>
  <c r="AB41" i="5"/>
  <c r="AC41" i="5" s="1"/>
  <c r="AB42" i="5"/>
  <c r="AB43" i="5"/>
  <c r="AC43" i="5" s="1"/>
  <c r="AB44" i="5"/>
  <c r="AB45" i="5"/>
  <c r="AC45" i="5" s="1"/>
  <c r="AB46" i="5"/>
  <c r="AC46" i="5" s="1"/>
  <c r="AB47" i="5"/>
  <c r="AC47" i="5" s="1"/>
  <c r="AB48" i="5"/>
  <c r="AB49" i="5"/>
  <c r="AC49" i="5" s="1"/>
  <c r="AB50" i="5"/>
  <c r="AC50" i="5" s="1"/>
  <c r="AB51" i="5"/>
  <c r="AC51" i="5" s="1"/>
  <c r="AB52" i="5"/>
  <c r="AC52" i="5" s="1"/>
  <c r="AB53" i="5"/>
  <c r="AC53" i="5" s="1"/>
  <c r="AB54" i="5"/>
  <c r="AC54" i="5" s="1"/>
  <c r="AB55" i="5"/>
  <c r="AC55" i="5" s="1"/>
  <c r="AB56" i="5"/>
  <c r="AC56" i="5" s="1"/>
  <c r="AB57" i="5"/>
  <c r="AC57" i="5" s="1"/>
  <c r="AB58" i="5"/>
  <c r="AC58" i="5" s="1"/>
  <c r="AB59" i="5"/>
  <c r="AC59" i="5" s="1"/>
  <c r="AB60" i="5"/>
  <c r="AC60" i="5" s="1"/>
  <c r="AB61" i="5"/>
  <c r="AC61" i="5" s="1"/>
  <c r="AB62" i="5"/>
  <c r="AC62" i="5" s="1"/>
  <c r="AB63" i="5"/>
  <c r="AC63" i="5" s="1"/>
  <c r="AB64" i="5"/>
  <c r="AC64" i="5" s="1"/>
  <c r="AB65" i="5"/>
  <c r="AC65" i="5" s="1"/>
  <c r="AB66" i="5"/>
  <c r="AC66" i="5" s="1"/>
  <c r="AB67" i="5"/>
  <c r="AC67" i="5" s="1"/>
  <c r="AB68" i="5"/>
  <c r="AC68" i="5" s="1"/>
  <c r="AB69" i="5"/>
  <c r="AC69" i="5" s="1"/>
  <c r="AB70" i="5"/>
  <c r="AC70" i="5" s="1"/>
  <c r="AB71" i="5"/>
  <c r="AC71" i="5" s="1"/>
  <c r="AB72" i="5"/>
  <c r="AC72" i="5" s="1"/>
  <c r="AB73" i="5"/>
  <c r="AC73" i="5" s="1"/>
  <c r="AB74" i="5"/>
  <c r="AC74" i="5" s="1"/>
  <c r="AB75" i="5"/>
  <c r="AC75" i="5" s="1"/>
  <c r="AB76" i="5"/>
  <c r="AC76" i="5" s="1"/>
  <c r="AB77" i="5"/>
  <c r="AC77" i="5" s="1"/>
  <c r="AB78" i="5"/>
  <c r="AC78" i="5" s="1"/>
  <c r="AB79" i="5"/>
  <c r="AC79" i="5" s="1"/>
  <c r="AB80" i="5"/>
  <c r="AC80" i="5" s="1"/>
  <c r="AB81" i="5"/>
  <c r="AC81" i="5" s="1"/>
  <c r="AB82" i="5"/>
  <c r="AC82" i="5" s="1"/>
  <c r="AB83" i="5"/>
  <c r="AC83" i="5" s="1"/>
  <c r="AB84" i="5"/>
  <c r="AC84" i="5" s="1"/>
  <c r="AB85" i="5"/>
  <c r="AC85" i="5" s="1"/>
  <c r="AB86" i="5"/>
  <c r="AC86" i="5" s="1"/>
  <c r="AB87" i="5"/>
  <c r="AB88" i="5"/>
  <c r="AC88" i="5" s="1"/>
  <c r="AB89" i="5"/>
  <c r="AC89" i="5" s="1"/>
  <c r="AB90" i="5"/>
  <c r="AC90" i="5" s="1"/>
  <c r="AB91" i="5"/>
  <c r="AB92" i="5"/>
  <c r="AC92" i="5" s="1"/>
  <c r="AB93" i="5"/>
  <c r="AC93" i="5" s="1"/>
  <c r="AB94" i="5"/>
  <c r="AC94" i="5" s="1"/>
  <c r="AB95" i="5"/>
  <c r="AB96" i="5"/>
  <c r="AC96" i="5" s="1"/>
  <c r="AB97" i="5"/>
  <c r="AC97" i="5" s="1"/>
  <c r="AB2" i="5"/>
  <c r="AC2" i="5" s="1"/>
  <c r="C5" i="18"/>
  <c r="C6" i="18"/>
  <c r="C7" i="18"/>
  <c r="C8" i="18"/>
  <c r="C9" i="18"/>
  <c r="C10" i="18"/>
  <c r="C11" i="18"/>
  <c r="C12" i="18"/>
  <c r="C13" i="18"/>
  <c r="C14" i="18"/>
  <c r="C15" i="18"/>
  <c r="C4" i="18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2" i="5"/>
  <c r="Y2" i="5"/>
  <c r="E6" i="15"/>
  <c r="F6" i="15"/>
  <c r="E7" i="15"/>
  <c r="F7" i="15"/>
  <c r="E8" i="15"/>
  <c r="F8" i="15"/>
  <c r="E9" i="15"/>
  <c r="F9" i="15"/>
  <c r="E10" i="15"/>
  <c r="F10" i="15"/>
  <c r="E11" i="15"/>
  <c r="F11" i="15"/>
  <c r="E12" i="15"/>
  <c r="F12" i="15"/>
  <c r="E13" i="15"/>
  <c r="F13" i="15"/>
  <c r="E14" i="15"/>
  <c r="F14" i="15"/>
  <c r="E15" i="15"/>
  <c r="F15" i="15"/>
  <c r="E16" i="15"/>
  <c r="F16" i="15"/>
  <c r="F5" i="15"/>
  <c r="E5" i="15"/>
  <c r="E5" i="14"/>
  <c r="E12" i="14"/>
  <c r="E8" i="14"/>
  <c r="E13" i="14"/>
  <c r="E7" i="14"/>
  <c r="E6" i="14"/>
  <c r="E16" i="14"/>
  <c r="E14" i="14"/>
  <c r="E15" i="14"/>
  <c r="E10" i="14"/>
  <c r="E11" i="14"/>
  <c r="E9" i="14"/>
  <c r="D5" i="12"/>
  <c r="Z2" i="5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2" i="10" a="1"/>
  <c r="Y2" i="10" s="1"/>
  <c r="Y3" i="10" a="1"/>
  <c r="Y3" i="10" s="1"/>
  <c r="Y4" i="10" a="1"/>
  <c r="Y4" i="10" s="1"/>
  <c r="Y5" i="10" a="1"/>
  <c r="Y5" i="10" s="1"/>
  <c r="Y6" i="10" a="1"/>
  <c r="Y6" i="10" s="1"/>
  <c r="Y7" i="10" a="1"/>
  <c r="Y7" i="10" s="1"/>
  <c r="Y8" i="10" a="1"/>
  <c r="Y8" i="10" s="1"/>
  <c r="Y9" i="10" a="1"/>
  <c r="Y9" i="10" s="1"/>
  <c r="Y10" i="10" a="1"/>
  <c r="Y10" i="10" s="1"/>
  <c r="Y11" i="10" a="1"/>
  <c r="Y11" i="10" s="1"/>
  <c r="Y12" i="10" a="1"/>
  <c r="Y12" i="10" s="1"/>
  <c r="Y13" i="10" a="1"/>
  <c r="Y13" i="10" s="1"/>
  <c r="Y14" i="10" a="1"/>
  <c r="Y14" i="10" s="1"/>
  <c r="Y15" i="10" a="1"/>
  <c r="Y15" i="10" s="1"/>
  <c r="Y16" i="10" a="1"/>
  <c r="Y16" i="10" s="1"/>
  <c r="Y17" i="10" a="1"/>
  <c r="Y17" i="10" s="1"/>
  <c r="Y18" i="10" a="1"/>
  <c r="Y18" i="10" s="1"/>
  <c r="Y19" i="10" a="1"/>
  <c r="Y19" i="10" s="1"/>
  <c r="Y20" i="10" a="1"/>
  <c r="Y20" i="10" s="1"/>
  <c r="Y21" i="10" a="1"/>
  <c r="Y21" i="10" s="1"/>
  <c r="Y22" i="10" a="1"/>
  <c r="Y22" i="10" s="1"/>
  <c r="Y23" i="10" a="1"/>
  <c r="Y23" i="10" s="1"/>
  <c r="Y24" i="10" a="1"/>
  <c r="Y24" i="10" s="1"/>
  <c r="Y25" i="10" a="1"/>
  <c r="Y25" i="10" s="1"/>
  <c r="Y26" i="10" a="1"/>
  <c r="Y26" i="10" s="1"/>
  <c r="Y27" i="10" a="1"/>
  <c r="Y27" i="10" s="1"/>
  <c r="Y28" i="10" a="1"/>
  <c r="Y28" i="10" s="1"/>
  <c r="Y29" i="10" a="1"/>
  <c r="Y29" i="10" s="1"/>
  <c r="Y30" i="10" a="1"/>
  <c r="Y30" i="10" s="1"/>
  <c r="Y31" i="10" a="1"/>
  <c r="Y31" i="10" s="1"/>
  <c r="Y32" i="10" a="1"/>
  <c r="Y32" i="10" s="1"/>
  <c r="Y33" i="10" a="1"/>
  <c r="Y33" i="10" s="1"/>
  <c r="Y34" i="10" a="1"/>
  <c r="Y34" i="10" s="1"/>
  <c r="Y35" i="10" a="1"/>
  <c r="Y35" i="10" s="1"/>
  <c r="Y36" i="10" a="1"/>
  <c r="Y36" i="10" s="1"/>
  <c r="Y37" i="10" a="1"/>
  <c r="Y37" i="10" s="1"/>
  <c r="Y38" i="10" a="1"/>
  <c r="Y38" i="10" s="1"/>
  <c r="Y39" i="10" a="1"/>
  <c r="Y39" i="10" s="1"/>
  <c r="Y40" i="10" a="1"/>
  <c r="Y40" i="10" s="1"/>
  <c r="Y41" i="10" a="1"/>
  <c r="Y41" i="10" s="1"/>
  <c r="Y42" i="10" a="1"/>
  <c r="Y42" i="10" s="1"/>
  <c r="Y43" i="10" a="1"/>
  <c r="Y43" i="10" s="1"/>
  <c r="Y44" i="10" a="1"/>
  <c r="Y44" i="10" s="1"/>
  <c r="Y45" i="10" a="1"/>
  <c r="Y45" i="10" s="1"/>
  <c r="Y46" i="10" a="1"/>
  <c r="Y46" i="10" s="1"/>
  <c r="Y47" i="10" a="1"/>
  <c r="Y47" i="10" s="1"/>
  <c r="Y48" i="10" a="1"/>
  <c r="Y48" i="10" s="1"/>
  <c r="Y49" i="10" a="1"/>
  <c r="Y49" i="10" s="1"/>
  <c r="Y50" i="10" a="1"/>
  <c r="Y50" i="10" s="1"/>
  <c r="Y51" i="10" a="1"/>
  <c r="Y51" i="10" s="1"/>
  <c r="Y52" i="10" a="1"/>
  <c r="Y52" i="10" s="1"/>
  <c r="Y53" i="10" a="1"/>
  <c r="Y53" i="10" s="1"/>
  <c r="Y54" i="10" a="1"/>
  <c r="Y54" i="10" s="1"/>
  <c r="Y55" i="10" a="1"/>
  <c r="Y55" i="10" s="1"/>
  <c r="Y56" i="10" a="1"/>
  <c r="Y56" i="10" s="1"/>
  <c r="Y57" i="10" a="1"/>
  <c r="Y57" i="10" s="1"/>
  <c r="Y58" i="10" a="1"/>
  <c r="Y58" i="10" s="1"/>
  <c r="Y59" i="10" a="1"/>
  <c r="Y59" i="10" s="1"/>
  <c r="Y60" i="10" a="1"/>
  <c r="Y60" i="10" s="1"/>
  <c r="Y61" i="10" a="1"/>
  <c r="Y61" i="10" s="1"/>
  <c r="Y62" i="10" a="1"/>
  <c r="Y62" i="10" s="1"/>
  <c r="Y63" i="10" a="1"/>
  <c r="Y63" i="10" s="1"/>
  <c r="Y64" i="10" a="1"/>
  <c r="Y64" i="10" s="1"/>
  <c r="Y65" i="10" a="1"/>
  <c r="Y65" i="10" s="1"/>
  <c r="Y66" i="10" a="1"/>
  <c r="Y66" i="10" s="1"/>
  <c r="Y67" i="10" a="1"/>
  <c r="Y67" i="10" s="1"/>
  <c r="Y68" i="10" a="1"/>
  <c r="Y68" i="10" s="1"/>
  <c r="Y69" i="10" a="1"/>
  <c r="Y69" i="10" s="1"/>
  <c r="Y70" i="10" a="1"/>
  <c r="Y70" i="10" s="1"/>
  <c r="Y71" i="10" a="1"/>
  <c r="Y71" i="10" s="1"/>
  <c r="Y72" i="10" a="1"/>
  <c r="Y72" i="10" s="1"/>
  <c r="Y73" i="10" a="1"/>
  <c r="Y73" i="10" s="1"/>
  <c r="Y74" i="10" a="1"/>
  <c r="Y74" i="10" s="1"/>
  <c r="Y75" i="10" a="1"/>
  <c r="Y75" i="10" s="1"/>
  <c r="Y76" i="10" a="1"/>
  <c r="Y76" i="10" s="1"/>
  <c r="Y77" i="10" a="1"/>
  <c r="Y77" i="10" s="1"/>
  <c r="Y78" i="10" a="1"/>
  <c r="Y78" i="10" s="1"/>
  <c r="Y79" i="10" a="1"/>
  <c r="Y79" i="10" s="1"/>
  <c r="Y80" i="10" a="1"/>
  <c r="Y80" i="10" s="1"/>
  <c r="Y81" i="10" a="1"/>
  <c r="Y81" i="10" s="1"/>
  <c r="Y82" i="10" a="1"/>
  <c r="Y82" i="10" s="1"/>
  <c r="Y83" i="10" a="1"/>
  <c r="Y83" i="10" s="1"/>
  <c r="Y84" i="10" a="1"/>
  <c r="Y84" i="10" s="1"/>
  <c r="Y85" i="10" a="1"/>
  <c r="Y85" i="10" s="1"/>
  <c r="Y86" i="10" a="1"/>
  <c r="Y86" i="10" s="1"/>
  <c r="Y87" i="10" a="1"/>
  <c r="Y87" i="10" s="1"/>
  <c r="Y88" i="10" a="1"/>
  <c r="Y88" i="10" s="1"/>
  <c r="Y89" i="10" a="1"/>
  <c r="Y89" i="10" s="1"/>
  <c r="Y90" i="10" a="1"/>
  <c r="Y90" i="10" s="1"/>
  <c r="Y91" i="10" a="1"/>
  <c r="Y91" i="10" s="1"/>
  <c r="Y92" i="10" a="1"/>
  <c r="Y92" i="10" s="1"/>
  <c r="Y93" i="10" a="1"/>
  <c r="Y93" i="10" s="1"/>
  <c r="Y94" i="10" a="1"/>
  <c r="Y94" i="10" s="1"/>
  <c r="Y95" i="10" a="1"/>
  <c r="Y95" i="10" s="1"/>
  <c r="Y96" i="10" a="1"/>
  <c r="Y96" i="10" s="1"/>
  <c r="Y97" i="10" a="1"/>
  <c r="Y97" i="10" s="1"/>
  <c r="AC44" i="5" l="1"/>
  <c r="AC95" i="5"/>
  <c r="AC8" i="5"/>
  <c r="AC42" i="5"/>
  <c r="AC14" i="5"/>
  <c r="AC38" i="5"/>
  <c r="AC25" i="5"/>
  <c r="AC48" i="5"/>
  <c r="AC18" i="5"/>
  <c r="AC22" i="5"/>
  <c r="AC12" i="5"/>
  <c r="AC6" i="5"/>
  <c r="AC91" i="5"/>
  <c r="AC8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2AE9D1-F366-40F9-B76B-64EBAB094DA7}" keepAlive="1" name="查詢 - CSV假資料" description="與活頁簿中 'CSV假資料' 查詢的連接。" type="5" refreshedVersion="8" background="1" saveData="1">
    <dbPr connection="Provider=Microsoft.Mashup.OleDb.1;Data Source=$Workbook$;Location=CSV假資料;Extended Properties=&quot;&quot;" command="SELECT * FROM [CSV假資料]"/>
  </connection>
  <connection id="2" xr16:uid="{E85050E8-786A-4241-BFEB-43D509A157FB}" keepAlive="1" name="查詢 - CSV假資料 (2)" description="與活頁簿中 'CSV假資料 (2)' 查詢的連接。" type="5" refreshedVersion="8" background="1" saveData="1">
    <dbPr connection="Provider=Microsoft.Mashup.OleDb.1;Data Source=$Workbook$;Location=&quot;CSV假資料 (2)&quot;;Extended Properties=&quot;&quot;" command="SELECT * FROM [CSV假資料 (2)]"/>
  </connection>
  <connection id="3" xr16:uid="{1E03A415-9B59-49EB-9216-854A3BC091D3}" keepAlive="1" name="查詢 - CSV假資料 (3)" description="與活頁簿中 'CSV假資料 (3)' 查詢的連接。" type="5" refreshedVersion="8" background="1" saveData="1">
    <dbPr connection="Provider=Microsoft.Mashup.OleDb.1;Data Source=$Workbook$;Location=&quot;CSV假資料 (3)&quot;;Extended Properties=&quot;&quot;" command="SELECT * FROM [CSV假資料 (3)]"/>
  </connection>
  <connection id="4" xr16:uid="{FCF11E46-7656-4D55-B02A-3996B867CC5F}" keepAlive="1" name="查詢 - CSV假資料2" description="與活頁簿中 'CSV假資料2' 查詢的連接。" type="5" refreshedVersion="8" background="1" saveData="1">
    <dbPr connection="Provider=Microsoft.Mashup.OleDb.1;Data Source=$Workbook$;Location=CSV假資料2;Extended Properties=&quot;&quot;" command="SELECT * FROM [CSV假資料2]"/>
  </connection>
  <connection id="5" xr16:uid="{771A47DE-A267-4039-B83F-B27E87D12DAD}" keepAlive="1" name="查詢 - CSV假資料2 (2)" description="與活頁簿中 'CSV假資料2 (2)' 查詢的連接。" type="5" refreshedVersion="8" background="1" saveData="1">
    <dbPr connection="Provider=Microsoft.Mashup.OleDb.1;Data Source=$Workbook$;Location=&quot;CSV假資料2 (2)&quot;;Extended Properties=&quot;&quot;" command="SELECT * FROM [CSV假資料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<sst xmlns="http://schemas.openxmlformats.org/spreadsheetml/2006/main" count="1149" uniqueCount="81">
  <si>
    <t>LocationCity</t>
  </si>
  <si>
    <t>LocationDistrict</t>
  </si>
  <si>
    <t>Type</t>
  </si>
  <si>
    <t>Rent</t>
  </si>
  <si>
    <t>Rooms</t>
  </si>
  <si>
    <t>Bathrooms</t>
  </si>
  <si>
    <t>IsNearMRT</t>
  </si>
  <si>
    <t>IsNewlyListed</t>
  </si>
  <si>
    <t>AllowsPets</t>
  </si>
  <si>
    <t>ShortTermRent</t>
  </si>
  <si>
    <t>BuildingType</t>
  </si>
  <si>
    <t>SizePing</t>
  </si>
  <si>
    <t>Floor</t>
  </si>
  <si>
    <t>TotalFloors</t>
  </si>
  <si>
    <t>HasAC</t>
  </si>
  <si>
    <t>HasWasher</t>
  </si>
  <si>
    <t>HasFridge</t>
  </si>
  <si>
    <t>HasWaterHeater</t>
  </si>
  <si>
    <t>HasGas</t>
  </si>
  <si>
    <t>HasInternet</t>
  </si>
  <si>
    <t>HasBed</t>
  </si>
  <si>
    <t>HasParking</t>
  </si>
  <si>
    <t>HasElevator</t>
  </si>
  <si>
    <t>HasBalcony</t>
  </si>
  <si>
    <t>台北市</t>
  </si>
  <si>
    <t>大安區</t>
  </si>
  <si>
    <t>獨立套房</t>
  </si>
  <si>
    <t>電梯大樓</t>
  </si>
  <si>
    <t>信義區</t>
  </si>
  <si>
    <t>整層住家</t>
  </si>
  <si>
    <t>公寓</t>
  </si>
  <si>
    <t>中山區</t>
  </si>
  <si>
    <t>分租套房</t>
  </si>
  <si>
    <t>松山區</t>
  </si>
  <si>
    <t>雅房</t>
  </si>
  <si>
    <t>中正區</t>
  </si>
  <si>
    <t>內湖區</t>
  </si>
  <si>
    <t>士林區</t>
  </si>
  <si>
    <t>透天厝</t>
  </si>
  <si>
    <t>文山區</t>
  </si>
  <si>
    <t>北投區</t>
  </si>
  <si>
    <t>萬華區</t>
  </si>
  <si>
    <t>大同區</t>
  </si>
  <si>
    <t>南港區</t>
  </si>
  <si>
    <t>總計</t>
  </si>
  <si>
    <t>列標籤</t>
  </si>
  <si>
    <t>FALSE</t>
  </si>
  <si>
    <t>TRUE</t>
  </si>
  <si>
    <t>欄標籤</t>
  </si>
  <si>
    <t>是否齊全設備</t>
  </si>
  <si>
    <t>是否齊全設備</t>
    <phoneticPr fontId="1" type="noConversion"/>
  </si>
  <si>
    <t>平均值 - Rent</t>
  </si>
  <si>
    <t>樓層類別</t>
  </si>
  <si>
    <t>樓層類別</t>
    <phoneticPr fontId="1" type="noConversion"/>
  </si>
  <si>
    <t>1-3層</t>
  </si>
  <si>
    <t>4-8層</t>
  </si>
  <si>
    <t>9層以上</t>
  </si>
  <si>
    <t>合計</t>
  </si>
  <si>
    <t>計數 - 是否齊全設備</t>
  </si>
  <si>
    <t>dif</t>
    <phoneticPr fontId="1" type="noConversion"/>
  </si>
  <si>
    <t>士林區</t>
    <phoneticPr fontId="1" type="noConversion"/>
  </si>
  <si>
    <t>DIFF-FALSE</t>
    <phoneticPr fontId="1" type="noConversion"/>
  </si>
  <si>
    <t>DIFF-TRUE</t>
    <phoneticPr fontId="1" type="noConversion"/>
  </si>
  <si>
    <t>透天厝</t>
    <phoneticPr fontId="1" type="noConversion"/>
  </si>
  <si>
    <t>電梯大樓</t>
    <phoneticPr fontId="1" type="noConversion"/>
  </si>
  <si>
    <t>擁有陽台、車位、電梯</t>
  </si>
  <si>
    <t>平均值的1.5倍</t>
    <phoneticPr fontId="1" type="noConversion"/>
  </si>
  <si>
    <t>是否大於1.5</t>
  </si>
  <si>
    <t>是否大於1.5</t>
    <phoneticPr fontId="1" type="noConversion"/>
  </si>
  <si>
    <t>10. 高價房源特徵分析</t>
  </si>
  <si>
    <t>10. 高價房源特徵分析</t>
    <phoneticPr fontId="1" type="noConversion"/>
  </si>
  <si>
    <t>計數 - 是否大於1.5</t>
  </si>
  <si>
    <t>計數 - 10. 高價房源特徵分析</t>
  </si>
  <si>
    <t>分租套房</t>
    <phoneticPr fontId="1" type="noConversion"/>
  </si>
  <si>
    <t>雅房</t>
    <phoneticPr fontId="1" type="noConversion"/>
  </si>
  <si>
    <t>整層住家</t>
    <phoneticPr fontId="1" type="noConversion"/>
  </si>
  <si>
    <t>獨立套房</t>
    <phoneticPr fontId="1" type="noConversion"/>
  </si>
  <si>
    <t>標準差 - Rent2</t>
  </si>
  <si>
    <t>計數 - HasParking</t>
  </si>
  <si>
    <t>IsNearMRT</t>
    <phoneticPr fontId="1" type="noConversion"/>
  </si>
  <si>
    <t>AllowsPets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</si>
</sst>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43" fontId="0" fillId="0" borderId="0" xfId="1" applyFo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NumberFormat="1" applyFill="1">
      <alignment vertical="center"/>
    </xf>
    <xf numFmtId="0" fontId="0" fillId="0" borderId="0" xfId="0" applyFill="1">
      <alignment vertical="center"/>
    </xf>
    <xf numFmtId="43" fontId="0" fillId="0" borderId="0" xfId="0" applyNumberFormat="1">
      <alignment vertical="center"/>
    </xf>
    <xf numFmtId="43" fontId="0" fillId="2" borderId="0" xfId="1" applyFont="1" applyFill="1">
      <alignment vertical="center"/>
    </xf>
  </cellXfs>
  <cellStyles count="2">
    <cellStyle name="一般" xfId="0" builtinId="0"/>
    <cellStyle name="千分位" xfId="1" builtinId="3"/>
  </cellStyles>
  <dxfs count="3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387350</xdr:colOff>
      <xdr:row>19</xdr:row>
      <xdr:rowOff>69850</xdr:rowOff>
    </xdr:from>
    <xdr:to>
      <xdr:col>6</xdr:col>
      <xdr:colOff>648676</xdr:colOff>
      <xdr:row>27</xdr:row>
      <xdr:rowOff>209811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738C8FC-0645-60E5-0F8B-A40E0FA1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350" y="4171950"/>
          <a:ext cx="6992326" cy="186716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栗藝瑄" refreshedDate="45980.477696527778" createdVersion="8" refreshedVersion="8" minRefreshableVersion="3" recordCount="96" xr:uid="{4E39C004-5539-463C-BE6B-568EAF4219C7}">
  <cacheSource type="worksheet">
    <worksheetSource ref="A1:Y97" sheet="工作表4"/>
  </cacheSource>
  <cacheFields count="25">
    <cacheField name="LocationCity" numFmtId="0">
      <sharedItems/>
    </cacheField>
    <cacheField name="LocationDistrict" numFmtId="0">
      <sharedItems count="12">
        <s v="大安區"/>
        <s v="信義區"/>
        <s v="中山區"/>
        <s v="松山區"/>
        <s v="中正區"/>
        <s v="內湖區"/>
        <s v="士林區"/>
        <s v="文山區"/>
        <s v="北投區"/>
        <s v="萬華區"/>
        <s v="大同區"/>
        <s v="南港區"/>
      </sharedItems>
    </cacheField>
    <cacheField name="Type" numFmtId="0">
      <sharedItems count="4">
        <s v="獨立套房"/>
        <s v="整層住家"/>
        <s v="分租套房"/>
        <s v="雅房"/>
      </sharedItems>
    </cacheField>
    <cacheField name="Rent" numFmtId="0">
      <sharedItems containsSemiMixedTypes="0" containsString="0" containsNumber="1" containsInteger="1" minValue="4400" maxValue="68000"/>
    </cacheField>
    <cacheField name="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0" maxValue="3"/>
    </cacheField>
    <cacheField name="IsNearMRT" numFmtId="0">
      <sharedItems/>
    </cacheField>
    <cacheField name="IsNewlyListed" numFmtId="0">
      <sharedItems/>
    </cacheField>
    <cacheField name="AllowsPets" numFmtId="0">
      <sharedItems/>
    </cacheField>
    <cacheField name="ShortTermRent" numFmtId="0">
      <sharedItems/>
    </cacheField>
    <cacheField name="BuildingType" numFmtId="0">
      <sharedItems/>
    </cacheField>
    <cacheField name="SizePing" numFmtId="0">
      <sharedItems containsSemiMixedTypes="0" containsString="0" containsNumber="1" minValue="3.2" maxValue="60"/>
    </cacheField>
    <cacheField name="Floor" numFmtId="0">
      <sharedItems containsSemiMixedTypes="0" containsString="0" containsNumber="1" containsInteger="1" minValue="1" maxValue="25"/>
    </cacheField>
    <cacheField name="TotalFloors" numFmtId="0">
      <sharedItems containsSemiMixedTypes="0" containsString="0" containsNumber="1" containsInteger="1" minValue="3" maxValue="30"/>
    </cacheField>
    <cacheField name="HasAC" numFmtId="0">
      <sharedItems/>
    </cacheField>
    <cacheField name="HasWasher" numFmtId="0">
      <sharedItems/>
    </cacheField>
    <cacheField name="HasFridge" numFmtId="0">
      <sharedItems/>
    </cacheField>
    <cacheField name="HasWaterHeater" numFmtId="0">
      <sharedItems/>
    </cacheField>
    <cacheField name="HasGas" numFmtId="0">
      <sharedItems/>
    </cacheField>
    <cacheField name="HasInternet" numFmtId="0">
      <sharedItems/>
    </cacheField>
    <cacheField name="HasBed" numFmtId="0">
      <sharedItems/>
    </cacheField>
    <cacheField name="HasParking" numFmtId="0">
      <sharedItems/>
    </cacheField>
    <cacheField name="HasElevator" numFmtId="0">
      <sharedItems/>
    </cacheField>
    <cacheField name="HasBalcony" numFmtId="0">
      <sharedItems/>
    </cacheField>
    <cacheField name="是否齊全設備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栗藝瑄" refreshedDate="45980.551779861111" createdVersion="8" refreshedVersion="8" minRefreshableVersion="3" recordCount="96" xr:uid="{FFC1D2B0-9046-41DB-A2F5-ADD977112512}">
  <cacheSource type="worksheet">
    <worksheetSource ref="A1:Z97" sheet="工作表4"/>
  </cacheSource>
  <cacheFields count="26">
    <cacheField name="LocationCity" numFmtId="0">
      <sharedItems/>
    </cacheField>
    <cacheField name="LocationDistrict" numFmtId="0">
      <sharedItems count="12">
        <s v="大安區"/>
        <s v="信義區"/>
        <s v="中山區"/>
        <s v="松山區"/>
        <s v="中正區"/>
        <s v="內湖區"/>
        <s v="士林區"/>
        <s v="文山區"/>
        <s v="北投區"/>
        <s v="萬華區"/>
        <s v="大同區"/>
        <s v="南港區"/>
      </sharedItems>
    </cacheField>
    <cacheField name="Type" numFmtId="0">
      <sharedItems/>
    </cacheField>
    <cacheField name="Rent" numFmtId="0">
      <sharedItems containsSemiMixedTypes="0" containsString="0" containsNumber="1" containsInteger="1" minValue="4400" maxValue="68000" count="88">
        <n v="12000"/>
        <n v="35000"/>
        <n v="8000"/>
        <n v="5500"/>
        <n v="28000"/>
        <n v="15000"/>
        <n v="32000"/>
        <n v="7500"/>
        <n v="5000"/>
        <n v="9000"/>
        <n v="25000"/>
        <n v="13000"/>
        <n v="42000"/>
        <n v="11000"/>
        <n v="6000"/>
        <n v="14000"/>
        <n v="38000"/>
        <n v="8500"/>
        <n v="5200"/>
        <n v="9500"/>
        <n v="22000"/>
        <n v="7000"/>
        <n v="4800"/>
        <n v="30000"/>
        <n v="16000"/>
        <n v="45000"/>
        <n v="10000"/>
        <n v="5800"/>
        <n v="13500"/>
        <n v="33000"/>
        <n v="7800"/>
        <n v="5100"/>
        <n v="18000"/>
        <n v="7200"/>
        <n v="5300"/>
        <n v="48000"/>
        <n v="17000"/>
        <n v="9200"/>
        <n v="6200"/>
        <n v="12500"/>
        <n v="8300"/>
        <n v="4900"/>
        <n v="10500"/>
        <n v="23000"/>
        <n v="8800"/>
        <n v="6700"/>
        <n v="52000"/>
        <n v="14500"/>
        <n v="9800"/>
        <n v="5400"/>
        <n v="36000"/>
        <n v="11500"/>
        <n v="7600"/>
        <n v="4700"/>
        <n v="19500"/>
        <n v="12800"/>
        <n v="8100"/>
        <n v="7100"/>
        <n v="58000"/>
        <n v="15500"/>
        <n v="5900"/>
        <n v="40000"/>
        <n v="7900"/>
        <n v="4600"/>
        <n v="21000"/>
        <n v="14200"/>
        <n v="8700"/>
        <n v="6800"/>
        <n v="62000"/>
        <n v="16500"/>
        <n v="11200"/>
        <n v="6100"/>
        <n v="44000"/>
        <n v="14800"/>
        <n v="8200"/>
        <n v="4500"/>
        <n v="24000"/>
        <n v="13800"/>
        <n v="6900"/>
        <n v="68000"/>
        <n v="17200"/>
        <n v="11800"/>
        <n v="6300"/>
        <n v="15800"/>
        <n v="8400"/>
        <n v="4400"/>
        <n v="27000"/>
        <n v="9300"/>
      </sharedItems>
    </cacheField>
    <cacheField name="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0" maxValue="3"/>
    </cacheField>
    <cacheField name="IsNearMRT" numFmtId="0">
      <sharedItems count="2">
        <b v="1"/>
        <b v="0"/>
      </sharedItems>
    </cacheField>
    <cacheField name="IsNewlyListed" numFmtId="0">
      <sharedItems/>
    </cacheField>
    <cacheField name="AllowsPets" numFmtId="0">
      <sharedItems/>
    </cacheField>
    <cacheField name="ShortTermRent" numFmtId="0">
      <sharedItems/>
    </cacheField>
    <cacheField name="BuildingType" numFmtId="0">
      <sharedItems/>
    </cacheField>
    <cacheField name="SizePing" numFmtId="0">
      <sharedItems containsSemiMixedTypes="0" containsString="0" containsNumber="1" minValue="3.2" maxValue="60"/>
    </cacheField>
    <cacheField name="Floor" numFmtId="0">
      <sharedItems containsSemiMixedTypes="0" containsString="0" containsNumber="1" containsInteger="1" minValue="1" maxValue="25"/>
    </cacheField>
    <cacheField name="TotalFloors" numFmtId="0">
      <sharedItems containsSemiMixedTypes="0" containsString="0" containsNumber="1" containsInteger="1" minValue="3" maxValue="30"/>
    </cacheField>
    <cacheField name="HasAC" numFmtId="0">
      <sharedItems/>
    </cacheField>
    <cacheField name="HasWasher" numFmtId="0">
      <sharedItems/>
    </cacheField>
    <cacheField name="HasFridge" numFmtId="0">
      <sharedItems/>
    </cacheField>
    <cacheField name="HasWaterHeater" numFmtId="0">
      <sharedItems/>
    </cacheField>
    <cacheField name="HasGas" numFmtId="0">
      <sharedItems/>
    </cacheField>
    <cacheField name="HasInternet" numFmtId="0">
      <sharedItems/>
    </cacheField>
    <cacheField name="HasBed" numFmtId="0">
      <sharedItems/>
    </cacheField>
    <cacheField name="HasParking" numFmtId="0">
      <sharedItems/>
    </cacheField>
    <cacheField name="HasElevator" numFmtId="0">
      <sharedItems/>
    </cacheField>
    <cacheField name="HasBalcony" numFmtId="0">
      <sharedItems/>
    </cacheField>
    <cacheField name="是否齊全設備" numFmtId="0">
      <sharedItems/>
    </cacheField>
    <cacheField name="樓層類別" numFmtId="0">
      <sharedItems count="3">
        <s v="4-8層"/>
        <s v="1-3層"/>
        <s v="9層以上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栗藝瑄" refreshedDate="45980.824649074071" createdVersion="8" refreshedVersion="8" minRefreshableVersion="3" recordCount="96" xr:uid="{8B906824-C2CB-4F8A-8C44-19D8CB5F119F}">
  <cacheSource type="worksheet">
    <worksheetSource ref="A1:AA97" sheet="工作表4"/>
  </cacheSource>
  <cacheFields count="27">
    <cacheField name="LocationCity" numFmtId="0">
      <sharedItems/>
    </cacheField>
    <cacheField name="LocationDistrict" numFmtId="0">
      <sharedItems count="12">
        <s v="大安區"/>
        <s v="信義區"/>
        <s v="中山區"/>
        <s v="松山區"/>
        <s v="中正區"/>
        <s v="內湖區"/>
        <s v="士林區"/>
        <s v="文山區"/>
        <s v="北投區"/>
        <s v="萬華區"/>
        <s v="大同區"/>
        <s v="南港區"/>
      </sharedItems>
    </cacheField>
    <cacheField name="Type" numFmtId="0">
      <sharedItems/>
    </cacheField>
    <cacheField name="Rent" numFmtId="0">
      <sharedItems containsSemiMixedTypes="0" containsString="0" containsNumber="1" containsInteger="1" minValue="4400" maxValue="68000"/>
    </cacheField>
    <cacheField name="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0" maxValue="3"/>
    </cacheField>
    <cacheField name="IsNearMRT" numFmtId="0">
      <sharedItems/>
    </cacheField>
    <cacheField name="IsNewlyListed" numFmtId="0">
      <sharedItems/>
    </cacheField>
    <cacheField name="AllowsPets" numFmtId="0">
      <sharedItems/>
    </cacheField>
    <cacheField name="ShortTermRent" numFmtId="0">
      <sharedItems/>
    </cacheField>
    <cacheField name="BuildingType" numFmtId="0">
      <sharedItems/>
    </cacheField>
    <cacheField name="SizePing" numFmtId="0">
      <sharedItems containsSemiMixedTypes="0" containsString="0" containsNumber="1" minValue="3.2" maxValue="60"/>
    </cacheField>
    <cacheField name="Floor" numFmtId="0">
      <sharedItems containsSemiMixedTypes="0" containsString="0" containsNumber="1" containsInteger="1" minValue="1" maxValue="25"/>
    </cacheField>
    <cacheField name="TotalFloors" numFmtId="0">
      <sharedItems containsSemiMixedTypes="0" containsString="0" containsNumber="1" containsInteger="1" minValue="3" maxValue="30"/>
    </cacheField>
    <cacheField name="HasAC" numFmtId="0">
      <sharedItems/>
    </cacheField>
    <cacheField name="HasWasher" numFmtId="0">
      <sharedItems/>
    </cacheField>
    <cacheField name="HasFridge" numFmtId="0">
      <sharedItems/>
    </cacheField>
    <cacheField name="HasWaterHeater" numFmtId="0">
      <sharedItems/>
    </cacheField>
    <cacheField name="HasGas" numFmtId="0">
      <sharedItems/>
    </cacheField>
    <cacheField name="HasInternet" numFmtId="0">
      <sharedItems/>
    </cacheField>
    <cacheField name="HasBed" numFmtId="0">
      <sharedItems/>
    </cacheField>
    <cacheField name="HasParking" numFmtId="0">
      <sharedItems/>
    </cacheField>
    <cacheField name="HasElevator" numFmtId="0">
      <sharedItems/>
    </cacheField>
    <cacheField name="HasBalcony" numFmtId="0">
      <sharedItems/>
    </cacheField>
    <cacheField name="是否齊全設備" numFmtId="0">
      <sharedItems/>
    </cacheField>
    <cacheField name="樓層類別" numFmtId="0">
      <sharedItems/>
    </cacheField>
    <cacheField name="擁有陽台、車位、電梯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栗藝瑄" refreshedDate="45980.872272222223" createdVersion="8" refreshedVersion="8" minRefreshableVersion="3" recordCount="96" xr:uid="{0D33C936-CE12-4E0E-9242-41162FF0C32E}">
  <cacheSource type="worksheet">
    <worksheetSource ref="A1:AC97" sheet="工作表4"/>
  </cacheSource>
  <cacheFields count="29">
    <cacheField name="LocationCity" numFmtId="0">
      <sharedItems/>
    </cacheField>
    <cacheField name="LocationDistrict" numFmtId="0">
      <sharedItems count="12">
        <s v="大安區"/>
        <s v="信義區"/>
        <s v="中山區"/>
        <s v="松山區"/>
        <s v="中正區"/>
        <s v="內湖區"/>
        <s v="士林區"/>
        <s v="文山區"/>
        <s v="北投區"/>
        <s v="萬華區"/>
        <s v="大同區"/>
        <s v="南港區"/>
      </sharedItems>
    </cacheField>
    <cacheField name="Type" numFmtId="0">
      <sharedItems/>
    </cacheField>
    <cacheField name="Rent" numFmtId="0">
      <sharedItems containsSemiMixedTypes="0" containsString="0" containsNumber="1" containsInteger="1" minValue="4400" maxValue="68000" count="88">
        <n v="12000"/>
        <n v="35000"/>
        <n v="8000"/>
        <n v="5500"/>
        <n v="28000"/>
        <n v="15000"/>
        <n v="32000"/>
        <n v="7500"/>
        <n v="5000"/>
        <n v="9000"/>
        <n v="25000"/>
        <n v="13000"/>
        <n v="42000"/>
        <n v="11000"/>
        <n v="6000"/>
        <n v="14000"/>
        <n v="38000"/>
        <n v="8500"/>
        <n v="5200"/>
        <n v="9500"/>
        <n v="22000"/>
        <n v="7000"/>
        <n v="4800"/>
        <n v="30000"/>
        <n v="16000"/>
        <n v="45000"/>
        <n v="10000"/>
        <n v="5800"/>
        <n v="13500"/>
        <n v="33000"/>
        <n v="7800"/>
        <n v="5100"/>
        <n v="18000"/>
        <n v="7200"/>
        <n v="5300"/>
        <n v="48000"/>
        <n v="17000"/>
        <n v="9200"/>
        <n v="6200"/>
        <n v="12500"/>
        <n v="8300"/>
        <n v="4900"/>
        <n v="10500"/>
        <n v="23000"/>
        <n v="8800"/>
        <n v="6700"/>
        <n v="52000"/>
        <n v="14500"/>
        <n v="9800"/>
        <n v="5400"/>
        <n v="36000"/>
        <n v="11500"/>
        <n v="7600"/>
        <n v="4700"/>
        <n v="19500"/>
        <n v="12800"/>
        <n v="8100"/>
        <n v="7100"/>
        <n v="58000"/>
        <n v="15500"/>
        <n v="5900"/>
        <n v="40000"/>
        <n v="7900"/>
        <n v="4600"/>
        <n v="21000"/>
        <n v="14200"/>
        <n v="8700"/>
        <n v="6800"/>
        <n v="62000"/>
        <n v="16500"/>
        <n v="11200"/>
        <n v="6100"/>
        <n v="44000"/>
        <n v="14800"/>
        <n v="8200"/>
        <n v="4500"/>
        <n v="24000"/>
        <n v="13800"/>
        <n v="6900"/>
        <n v="68000"/>
        <n v="17200"/>
        <n v="11800"/>
        <n v="6300"/>
        <n v="15800"/>
        <n v="8400"/>
        <n v="4400"/>
        <n v="27000"/>
        <n v="9300"/>
      </sharedItems>
    </cacheField>
    <cacheField name="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0" maxValue="3"/>
    </cacheField>
    <cacheField name="IsNearMRT" numFmtId="0">
      <sharedItems/>
    </cacheField>
    <cacheField name="IsNewlyListed" numFmtId="0">
      <sharedItems/>
    </cacheField>
    <cacheField name="AllowsPets" numFmtId="0">
      <sharedItems/>
    </cacheField>
    <cacheField name="ShortTermRent" numFmtId="0">
      <sharedItems/>
    </cacheField>
    <cacheField name="BuildingType" numFmtId="0">
      <sharedItems/>
    </cacheField>
    <cacheField name="SizePing" numFmtId="0">
      <sharedItems containsSemiMixedTypes="0" containsString="0" containsNumber="1" minValue="3.2" maxValue="60"/>
    </cacheField>
    <cacheField name="Floor" numFmtId="0">
      <sharedItems containsSemiMixedTypes="0" containsString="0" containsNumber="1" containsInteger="1" minValue="1" maxValue="25"/>
    </cacheField>
    <cacheField name="TotalFloors" numFmtId="0">
      <sharedItems containsSemiMixedTypes="0" containsString="0" containsNumber="1" containsInteger="1" minValue="3" maxValue="30"/>
    </cacheField>
    <cacheField name="HasAC" numFmtId="0">
      <sharedItems/>
    </cacheField>
    <cacheField name="HasWasher" numFmtId="0">
      <sharedItems/>
    </cacheField>
    <cacheField name="HasFridge" numFmtId="0">
      <sharedItems/>
    </cacheField>
    <cacheField name="HasWaterHeater" numFmtId="0">
      <sharedItems/>
    </cacheField>
    <cacheField name="HasGas" numFmtId="0">
      <sharedItems/>
    </cacheField>
    <cacheField name="HasInternet" numFmtId="0">
      <sharedItems/>
    </cacheField>
    <cacheField name="HasBed" numFmtId="0">
      <sharedItems/>
    </cacheField>
    <cacheField name="HasParking" numFmtId="0">
      <sharedItems count="2">
        <b v="0"/>
        <b v="1"/>
      </sharedItems>
    </cacheField>
    <cacheField name="HasElevator" numFmtId="0">
      <sharedItems/>
    </cacheField>
    <cacheField name="HasBalcony" numFmtId="0">
      <sharedItems/>
    </cacheField>
    <cacheField name="是否齊全設備" numFmtId="0">
      <sharedItems/>
    </cacheField>
    <cacheField name="樓層類別" numFmtId="0">
      <sharedItems/>
    </cacheField>
    <cacheField name="擁有陽台、車位、電梯" numFmtId="0">
      <sharedItems/>
    </cacheField>
    <cacheField name="是否大於1.5" numFmtId="0">
      <sharedItems count="2">
        <b v="0"/>
        <b v="1"/>
      </sharedItems>
    </cacheField>
    <cacheField name="10. 高價房源特徵分析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台北市"/>
    <x v="0"/>
    <x v="0"/>
    <n v="12000"/>
    <n v="1"/>
    <n v="1"/>
    <b v="1"/>
    <b v="1"/>
    <b v="0"/>
    <b v="0"/>
    <s v="電梯大樓"/>
    <n v="8.5"/>
    <n v="5"/>
    <n v="12"/>
    <b v="1"/>
    <b v="1"/>
    <b v="1"/>
    <b v="1"/>
    <b v="1"/>
    <b v="1"/>
    <b v="1"/>
    <b v="0"/>
    <b v="1"/>
    <b v="1"/>
    <x v="0"/>
  </r>
  <r>
    <s v="台北市"/>
    <x v="1"/>
    <x v="1"/>
    <n v="35000"/>
    <n v="3"/>
    <n v="2"/>
    <b v="1"/>
    <b v="0"/>
    <b v="1"/>
    <b v="0"/>
    <s v="公寓"/>
    <n v="28"/>
    <n v="3"/>
    <n v="5"/>
    <b v="1"/>
    <b v="1"/>
    <b v="1"/>
    <b v="1"/>
    <b v="1"/>
    <b v="1"/>
    <b v="0"/>
    <b v="0"/>
    <b v="0"/>
    <b v="1"/>
    <x v="0"/>
  </r>
  <r>
    <s v="台北市"/>
    <x v="2"/>
    <x v="2"/>
    <n v="8000"/>
    <n v="1"/>
    <n v="1"/>
    <b v="1"/>
    <b v="0"/>
    <b v="0"/>
    <b v="1"/>
    <s v="電梯大樓"/>
    <n v="6"/>
    <n v="7"/>
    <n v="10"/>
    <b v="1"/>
    <b v="0"/>
    <b v="1"/>
    <b v="1"/>
    <b v="0"/>
    <b v="1"/>
    <b v="1"/>
    <b v="0"/>
    <b v="1"/>
    <b v="0"/>
    <x v="1"/>
  </r>
  <r>
    <s v="台北市"/>
    <x v="3"/>
    <x v="3"/>
    <n v="5500"/>
    <n v="1"/>
    <n v="0"/>
    <b v="0"/>
    <b v="1"/>
    <b v="0"/>
    <b v="0"/>
    <s v="公寓"/>
    <n v="4.5"/>
    <n v="2"/>
    <n v="4"/>
    <b v="1"/>
    <b v="0"/>
    <b v="0"/>
    <b v="1"/>
    <b v="1"/>
    <b v="1"/>
    <b v="1"/>
    <b v="0"/>
    <b v="0"/>
    <b v="0"/>
    <x v="1"/>
  </r>
  <r>
    <s v="台北市"/>
    <x v="4"/>
    <x v="1"/>
    <n v="28000"/>
    <n v="2"/>
    <n v="1"/>
    <b v="1"/>
    <b v="0"/>
    <b v="1"/>
    <b v="0"/>
    <s v="電梯大樓"/>
    <n v="18"/>
    <n v="8"/>
    <n v="15"/>
    <b v="1"/>
    <b v="1"/>
    <b v="1"/>
    <b v="1"/>
    <b v="1"/>
    <b v="1"/>
    <b v="0"/>
    <b v="1"/>
    <b v="1"/>
    <b v="1"/>
    <x v="0"/>
  </r>
  <r>
    <s v="台北市"/>
    <x v="5"/>
    <x v="0"/>
    <n v="15000"/>
    <n v="1"/>
    <n v="1"/>
    <b v="0"/>
    <b v="1"/>
    <b v="1"/>
    <b v="0"/>
    <s v="電梯大樓"/>
    <n v="10"/>
    <n v="6"/>
    <n v="12"/>
    <b v="1"/>
    <b v="1"/>
    <b v="1"/>
    <b v="1"/>
    <b v="1"/>
    <b v="1"/>
    <b v="1"/>
    <b v="1"/>
    <b v="1"/>
    <b v="1"/>
    <x v="0"/>
  </r>
  <r>
    <s v="台北市"/>
    <x v="6"/>
    <x v="1"/>
    <n v="32000"/>
    <n v="4"/>
    <n v="2"/>
    <b v="1"/>
    <b v="0"/>
    <b v="0"/>
    <b v="0"/>
    <s v="透天厝"/>
    <n v="35"/>
    <n v="1"/>
    <n v="3"/>
    <b v="1"/>
    <b v="1"/>
    <b v="1"/>
    <b v="1"/>
    <b v="1"/>
    <b v="1"/>
    <b v="0"/>
    <b v="1"/>
    <b v="0"/>
    <b v="1"/>
    <x v="0"/>
  </r>
  <r>
    <s v="台北市"/>
    <x v="7"/>
    <x v="2"/>
    <n v="7500"/>
    <n v="1"/>
    <n v="1"/>
    <b v="0"/>
    <b v="1"/>
    <b v="0"/>
    <b v="0"/>
    <s v="公寓"/>
    <n v="5.5"/>
    <n v="4"/>
    <n v="5"/>
    <b v="1"/>
    <b v="0"/>
    <b v="1"/>
    <b v="1"/>
    <b v="1"/>
    <b v="1"/>
    <b v="1"/>
    <b v="0"/>
    <b v="0"/>
    <b v="0"/>
    <x v="1"/>
  </r>
  <r>
    <s v="台北市"/>
    <x v="8"/>
    <x v="3"/>
    <n v="5000"/>
    <n v="1"/>
    <n v="0"/>
    <b v="1"/>
    <b v="0"/>
    <b v="1"/>
    <b v="1"/>
    <s v="公寓"/>
    <n v="4"/>
    <n v="3"/>
    <n v="4"/>
    <b v="0"/>
    <b v="0"/>
    <b v="0"/>
    <b v="1"/>
    <b v="1"/>
    <b v="0"/>
    <b v="1"/>
    <b v="0"/>
    <b v="0"/>
    <b v="0"/>
    <x v="1"/>
  </r>
  <r>
    <s v="台北市"/>
    <x v="9"/>
    <x v="0"/>
    <n v="9000"/>
    <n v="1"/>
    <n v="1"/>
    <b v="1"/>
    <b v="1"/>
    <b v="0"/>
    <b v="0"/>
    <s v="公寓"/>
    <n v="7"/>
    <n v="2"/>
    <n v="5"/>
    <b v="1"/>
    <b v="1"/>
    <b v="1"/>
    <b v="1"/>
    <b v="1"/>
    <b v="1"/>
    <b v="1"/>
    <b v="0"/>
    <b v="0"/>
    <b v="0"/>
    <x v="0"/>
  </r>
  <r>
    <s v="台北市"/>
    <x v="10"/>
    <x v="1"/>
    <n v="25000"/>
    <n v="2"/>
    <n v="1"/>
    <b v="1"/>
    <b v="0"/>
    <b v="1"/>
    <b v="0"/>
    <s v="公寓"/>
    <n v="20"/>
    <n v="3"/>
    <n v="5"/>
    <b v="1"/>
    <b v="1"/>
    <b v="1"/>
    <b v="1"/>
    <b v="1"/>
    <b v="1"/>
    <b v="0"/>
    <b v="0"/>
    <b v="0"/>
    <b v="1"/>
    <x v="0"/>
  </r>
  <r>
    <s v="台北市"/>
    <x v="11"/>
    <x v="0"/>
    <n v="13000"/>
    <n v="1"/>
    <n v="1"/>
    <b v="1"/>
    <b v="1"/>
    <b v="0"/>
    <b v="0"/>
    <s v="電梯大樓"/>
    <n v="9"/>
    <n v="10"/>
    <n v="15"/>
    <b v="1"/>
    <b v="1"/>
    <b v="1"/>
    <b v="1"/>
    <b v="1"/>
    <b v="1"/>
    <b v="1"/>
    <b v="0"/>
    <b v="1"/>
    <b v="1"/>
    <x v="0"/>
  </r>
  <r>
    <s v="台北市"/>
    <x v="0"/>
    <x v="1"/>
    <n v="42000"/>
    <n v="3"/>
    <n v="2"/>
    <b v="1"/>
    <b v="0"/>
    <b v="0"/>
    <b v="0"/>
    <s v="電梯大樓"/>
    <n v="32"/>
    <n v="7"/>
    <n v="12"/>
    <b v="1"/>
    <b v="1"/>
    <b v="1"/>
    <b v="1"/>
    <b v="1"/>
    <b v="1"/>
    <b v="0"/>
    <b v="1"/>
    <b v="1"/>
    <b v="1"/>
    <x v="0"/>
  </r>
  <r>
    <s v="台北市"/>
    <x v="1"/>
    <x v="2"/>
    <n v="11000"/>
    <n v="1"/>
    <n v="1"/>
    <b v="1"/>
    <b v="1"/>
    <b v="0"/>
    <b v="1"/>
    <s v="電梯大樓"/>
    <n v="7.5"/>
    <n v="5"/>
    <n v="8"/>
    <b v="1"/>
    <b v="0"/>
    <b v="1"/>
    <b v="1"/>
    <b v="1"/>
    <b v="1"/>
    <b v="1"/>
    <b v="0"/>
    <b v="1"/>
    <b v="0"/>
    <x v="1"/>
  </r>
  <r>
    <s v="台北市"/>
    <x v="2"/>
    <x v="3"/>
    <n v="6000"/>
    <n v="1"/>
    <n v="0"/>
    <b v="1"/>
    <b v="0"/>
    <b v="0"/>
    <b v="0"/>
    <s v="公寓"/>
    <n v="5"/>
    <n v="1"/>
    <n v="4"/>
    <b v="1"/>
    <b v="0"/>
    <b v="0"/>
    <b v="1"/>
    <b v="1"/>
    <b v="1"/>
    <b v="1"/>
    <b v="0"/>
    <b v="0"/>
    <b v="0"/>
    <x v="1"/>
  </r>
  <r>
    <s v="台北市"/>
    <x v="3"/>
    <x v="0"/>
    <n v="14000"/>
    <n v="1"/>
    <n v="1"/>
    <b v="1"/>
    <b v="1"/>
    <b v="1"/>
    <b v="0"/>
    <s v="電梯大樓"/>
    <n v="8"/>
    <n v="9"/>
    <n v="14"/>
    <b v="1"/>
    <b v="1"/>
    <b v="1"/>
    <b v="1"/>
    <b v="1"/>
    <b v="1"/>
    <b v="1"/>
    <b v="0"/>
    <b v="1"/>
    <b v="1"/>
    <x v="0"/>
  </r>
  <r>
    <s v="台北市"/>
    <x v="4"/>
    <x v="1"/>
    <n v="38000"/>
    <n v="3"/>
    <n v="2"/>
    <b v="1"/>
    <b v="0"/>
    <b v="1"/>
    <b v="0"/>
    <s v="電梯大樓"/>
    <n v="30"/>
    <n v="12"/>
    <n v="20"/>
    <b v="1"/>
    <b v="1"/>
    <b v="1"/>
    <b v="1"/>
    <b v="1"/>
    <b v="1"/>
    <b v="0"/>
    <b v="1"/>
    <b v="1"/>
    <b v="1"/>
    <x v="0"/>
  </r>
  <r>
    <s v="台北市"/>
    <x v="5"/>
    <x v="2"/>
    <n v="8500"/>
    <n v="1"/>
    <n v="1"/>
    <b v="0"/>
    <b v="0"/>
    <b v="0"/>
    <b v="0"/>
    <s v="公寓"/>
    <n v="6.5"/>
    <n v="3"/>
    <n v="6"/>
    <b v="1"/>
    <b v="0"/>
    <b v="1"/>
    <b v="1"/>
    <b v="1"/>
    <b v="1"/>
    <b v="1"/>
    <b v="0"/>
    <b v="0"/>
    <b v="0"/>
    <x v="1"/>
  </r>
  <r>
    <s v="台北市"/>
    <x v="6"/>
    <x v="3"/>
    <n v="5200"/>
    <n v="1"/>
    <n v="0"/>
    <b v="1"/>
    <b v="1"/>
    <b v="0"/>
    <b v="1"/>
    <s v="公寓"/>
    <n v="4.2"/>
    <n v="2"/>
    <n v="4"/>
    <b v="1"/>
    <b v="0"/>
    <b v="0"/>
    <b v="1"/>
    <b v="1"/>
    <b v="1"/>
    <b v="1"/>
    <b v="0"/>
    <b v="0"/>
    <b v="0"/>
    <x v="1"/>
  </r>
  <r>
    <s v="台北市"/>
    <x v="7"/>
    <x v="0"/>
    <n v="9500"/>
    <n v="1"/>
    <n v="1"/>
    <b v="0"/>
    <b v="0"/>
    <b v="1"/>
    <b v="0"/>
    <s v="公寓"/>
    <n v="7.8"/>
    <n v="4"/>
    <n v="5"/>
    <b v="1"/>
    <b v="1"/>
    <b v="1"/>
    <b v="1"/>
    <b v="1"/>
    <b v="1"/>
    <b v="1"/>
    <b v="0"/>
    <b v="0"/>
    <b v="1"/>
    <x v="0"/>
  </r>
  <r>
    <s v="台北市"/>
    <x v="8"/>
    <x v="1"/>
    <n v="22000"/>
    <n v="2"/>
    <n v="1"/>
    <b v="1"/>
    <b v="1"/>
    <b v="0"/>
    <b v="0"/>
    <s v="公寓"/>
    <n v="22"/>
    <n v="2"/>
    <n v="4"/>
    <b v="1"/>
    <b v="1"/>
    <b v="1"/>
    <b v="1"/>
    <b v="1"/>
    <b v="1"/>
    <b v="0"/>
    <b v="0"/>
    <b v="0"/>
    <b v="1"/>
    <x v="0"/>
  </r>
  <r>
    <s v="台北市"/>
    <x v="9"/>
    <x v="2"/>
    <n v="7000"/>
    <n v="1"/>
    <n v="1"/>
    <b v="1"/>
    <b v="0"/>
    <b v="0"/>
    <b v="0"/>
    <s v="公寓"/>
    <n v="5.8"/>
    <n v="1"/>
    <n v="5"/>
    <b v="1"/>
    <b v="0"/>
    <b v="1"/>
    <b v="1"/>
    <b v="1"/>
    <b v="1"/>
    <b v="1"/>
    <b v="0"/>
    <b v="0"/>
    <b v="0"/>
    <x v="1"/>
  </r>
  <r>
    <s v="台北市"/>
    <x v="10"/>
    <x v="3"/>
    <n v="4800"/>
    <n v="1"/>
    <n v="0"/>
    <b v="1"/>
    <b v="1"/>
    <b v="0"/>
    <b v="1"/>
    <s v="公寓"/>
    <n v="3.8"/>
    <n v="3"/>
    <n v="5"/>
    <b v="0"/>
    <b v="0"/>
    <b v="0"/>
    <b v="1"/>
    <b v="1"/>
    <b v="0"/>
    <b v="1"/>
    <b v="0"/>
    <b v="0"/>
    <b v="0"/>
    <x v="1"/>
  </r>
  <r>
    <s v="台北市"/>
    <x v="11"/>
    <x v="1"/>
    <n v="30000"/>
    <n v="2"/>
    <n v="1"/>
    <b v="1"/>
    <b v="0"/>
    <b v="1"/>
    <b v="0"/>
    <s v="電梯大樓"/>
    <n v="25"/>
    <n v="8"/>
    <n v="12"/>
    <b v="1"/>
    <b v="1"/>
    <b v="1"/>
    <b v="1"/>
    <b v="1"/>
    <b v="1"/>
    <b v="0"/>
    <b v="1"/>
    <b v="1"/>
    <b v="1"/>
    <x v="0"/>
  </r>
  <r>
    <s v="台北市"/>
    <x v="0"/>
    <x v="0"/>
    <n v="16000"/>
    <n v="1"/>
    <n v="1"/>
    <b v="1"/>
    <b v="1"/>
    <b v="0"/>
    <b v="0"/>
    <s v="電梯大樓"/>
    <n v="11"/>
    <n v="6"/>
    <n v="10"/>
    <b v="1"/>
    <b v="1"/>
    <b v="1"/>
    <b v="1"/>
    <b v="1"/>
    <b v="1"/>
    <b v="1"/>
    <b v="0"/>
    <b v="1"/>
    <b v="1"/>
    <x v="0"/>
  </r>
  <r>
    <s v="台北市"/>
    <x v="1"/>
    <x v="1"/>
    <n v="45000"/>
    <n v="4"/>
    <n v="2"/>
    <b v="1"/>
    <b v="0"/>
    <b v="1"/>
    <b v="0"/>
    <s v="電梯大樓"/>
    <n v="38"/>
    <n v="15"/>
    <n v="20"/>
    <b v="1"/>
    <b v="1"/>
    <b v="1"/>
    <b v="1"/>
    <b v="1"/>
    <b v="1"/>
    <b v="0"/>
    <b v="1"/>
    <b v="1"/>
    <b v="1"/>
    <x v="0"/>
  </r>
  <r>
    <s v="台北市"/>
    <x v="2"/>
    <x v="2"/>
    <n v="10000"/>
    <n v="1"/>
    <n v="1"/>
    <b v="1"/>
    <b v="1"/>
    <b v="0"/>
    <b v="1"/>
    <s v="電梯大樓"/>
    <n v="8.1999999999999993"/>
    <n v="4"/>
    <n v="8"/>
    <b v="1"/>
    <b v="0"/>
    <b v="1"/>
    <b v="1"/>
    <b v="1"/>
    <b v="1"/>
    <b v="1"/>
    <b v="0"/>
    <b v="1"/>
    <b v="0"/>
    <x v="1"/>
  </r>
  <r>
    <s v="台北市"/>
    <x v="3"/>
    <x v="3"/>
    <n v="5800"/>
    <n v="1"/>
    <n v="0"/>
    <b v="0"/>
    <b v="0"/>
    <b v="1"/>
    <b v="0"/>
    <s v="公寓"/>
    <n v="4.8"/>
    <n v="2"/>
    <n v="4"/>
    <b v="1"/>
    <b v="0"/>
    <b v="0"/>
    <b v="1"/>
    <b v="1"/>
    <b v="1"/>
    <b v="1"/>
    <b v="0"/>
    <b v="0"/>
    <b v="0"/>
    <x v="1"/>
  </r>
  <r>
    <s v="台北市"/>
    <x v="4"/>
    <x v="0"/>
    <n v="13500"/>
    <n v="1"/>
    <n v="1"/>
    <b v="1"/>
    <b v="1"/>
    <b v="0"/>
    <b v="0"/>
    <s v="電梯大樓"/>
    <n v="9.5"/>
    <n v="7"/>
    <n v="12"/>
    <b v="1"/>
    <b v="1"/>
    <b v="1"/>
    <b v="1"/>
    <b v="1"/>
    <b v="1"/>
    <b v="1"/>
    <b v="0"/>
    <b v="1"/>
    <b v="1"/>
    <x v="0"/>
  </r>
  <r>
    <s v="台北市"/>
    <x v="5"/>
    <x v="1"/>
    <n v="33000"/>
    <n v="3"/>
    <n v="2"/>
    <b v="0"/>
    <b v="0"/>
    <b v="1"/>
    <b v="0"/>
    <s v="電梯大樓"/>
    <n v="29"/>
    <n v="5"/>
    <n v="10"/>
    <b v="1"/>
    <b v="1"/>
    <b v="1"/>
    <b v="1"/>
    <b v="1"/>
    <b v="1"/>
    <b v="0"/>
    <b v="1"/>
    <b v="1"/>
    <b v="1"/>
    <x v="0"/>
  </r>
  <r>
    <s v="台北市"/>
    <x v="6"/>
    <x v="2"/>
    <n v="7800"/>
    <n v="1"/>
    <n v="1"/>
    <b v="1"/>
    <b v="1"/>
    <b v="0"/>
    <b v="0"/>
    <s v="公寓"/>
    <n v="6.2"/>
    <n v="3"/>
    <n v="5"/>
    <b v="1"/>
    <b v="0"/>
    <b v="1"/>
    <b v="1"/>
    <b v="1"/>
    <b v="1"/>
    <b v="1"/>
    <b v="0"/>
    <b v="0"/>
    <b v="0"/>
    <x v="1"/>
  </r>
  <r>
    <s v="台北市"/>
    <x v="7"/>
    <x v="3"/>
    <n v="5100"/>
    <n v="1"/>
    <n v="0"/>
    <b v="0"/>
    <b v="0"/>
    <b v="0"/>
    <b v="1"/>
    <s v="公寓"/>
    <n v="4.0999999999999996"/>
    <n v="1"/>
    <n v="4"/>
    <b v="0"/>
    <b v="0"/>
    <b v="0"/>
    <b v="1"/>
    <b v="1"/>
    <b v="1"/>
    <b v="1"/>
    <b v="0"/>
    <b v="0"/>
    <b v="0"/>
    <x v="1"/>
  </r>
  <r>
    <s v="台北市"/>
    <x v="8"/>
    <x v="0"/>
    <n v="11000"/>
    <n v="1"/>
    <n v="1"/>
    <b v="1"/>
    <b v="1"/>
    <b v="1"/>
    <b v="0"/>
    <s v="公寓"/>
    <n v="8.8000000000000007"/>
    <n v="2"/>
    <n v="4"/>
    <b v="1"/>
    <b v="1"/>
    <b v="1"/>
    <b v="1"/>
    <b v="1"/>
    <b v="1"/>
    <b v="1"/>
    <b v="0"/>
    <b v="0"/>
    <b v="1"/>
    <x v="0"/>
  </r>
  <r>
    <s v="台北市"/>
    <x v="9"/>
    <x v="1"/>
    <n v="18000"/>
    <n v="1"/>
    <n v="1"/>
    <b v="1"/>
    <b v="0"/>
    <b v="0"/>
    <b v="0"/>
    <s v="公寓"/>
    <n v="15"/>
    <n v="3"/>
    <n v="5"/>
    <b v="1"/>
    <b v="1"/>
    <b v="1"/>
    <b v="1"/>
    <b v="1"/>
    <b v="1"/>
    <b v="0"/>
    <b v="0"/>
    <b v="0"/>
    <b v="1"/>
    <x v="0"/>
  </r>
  <r>
    <s v="台北市"/>
    <x v="10"/>
    <x v="2"/>
    <n v="7200"/>
    <n v="1"/>
    <n v="1"/>
    <b v="1"/>
    <b v="1"/>
    <b v="0"/>
    <b v="0"/>
    <s v="公寓"/>
    <n v="5.6"/>
    <n v="4"/>
    <n v="5"/>
    <b v="1"/>
    <b v="0"/>
    <b v="1"/>
    <b v="1"/>
    <b v="1"/>
    <b v="1"/>
    <b v="1"/>
    <b v="0"/>
    <b v="0"/>
    <b v="0"/>
    <x v="1"/>
  </r>
  <r>
    <s v="台北市"/>
    <x v="11"/>
    <x v="3"/>
    <n v="5300"/>
    <n v="1"/>
    <n v="0"/>
    <b v="0"/>
    <b v="0"/>
    <b v="1"/>
    <b v="1"/>
    <s v="公寓"/>
    <n v="4.3"/>
    <n v="2"/>
    <n v="4"/>
    <b v="1"/>
    <b v="0"/>
    <b v="0"/>
    <b v="1"/>
    <b v="1"/>
    <b v="1"/>
    <b v="1"/>
    <b v="0"/>
    <b v="0"/>
    <b v="0"/>
    <x v="1"/>
  </r>
  <r>
    <s v="台北市"/>
    <x v="0"/>
    <x v="1"/>
    <n v="48000"/>
    <n v="4"/>
    <n v="2"/>
    <b v="1"/>
    <b v="0"/>
    <b v="0"/>
    <b v="0"/>
    <s v="電梯大樓"/>
    <n v="40"/>
    <n v="10"/>
    <n v="15"/>
    <b v="1"/>
    <b v="1"/>
    <b v="1"/>
    <b v="1"/>
    <b v="1"/>
    <b v="1"/>
    <b v="0"/>
    <b v="1"/>
    <b v="1"/>
    <b v="1"/>
    <x v="0"/>
  </r>
  <r>
    <s v="台北市"/>
    <x v="1"/>
    <x v="0"/>
    <n v="17000"/>
    <n v="1"/>
    <n v="1"/>
    <b v="1"/>
    <b v="1"/>
    <b v="1"/>
    <b v="0"/>
    <s v="電梯大樓"/>
    <n v="12"/>
    <n v="8"/>
    <n v="12"/>
    <b v="1"/>
    <b v="1"/>
    <b v="1"/>
    <b v="1"/>
    <b v="1"/>
    <b v="1"/>
    <b v="1"/>
    <b v="0"/>
    <b v="1"/>
    <b v="1"/>
    <x v="0"/>
  </r>
  <r>
    <s v="台北市"/>
    <x v="2"/>
    <x v="2"/>
    <n v="9200"/>
    <n v="1"/>
    <n v="1"/>
    <b v="1"/>
    <b v="0"/>
    <b v="0"/>
    <b v="1"/>
    <s v="電梯大樓"/>
    <n v="7.2"/>
    <n v="6"/>
    <n v="9"/>
    <b v="1"/>
    <b v="0"/>
    <b v="1"/>
    <b v="1"/>
    <b v="1"/>
    <b v="1"/>
    <b v="1"/>
    <b v="0"/>
    <b v="1"/>
    <b v="0"/>
    <x v="1"/>
  </r>
  <r>
    <s v="台北市"/>
    <x v="3"/>
    <x v="3"/>
    <n v="6200"/>
    <n v="1"/>
    <n v="0"/>
    <b v="1"/>
    <b v="1"/>
    <b v="0"/>
    <b v="0"/>
    <s v="公寓"/>
    <n v="5.2"/>
    <n v="1"/>
    <n v="4"/>
    <b v="1"/>
    <b v="0"/>
    <b v="0"/>
    <b v="1"/>
    <b v="1"/>
    <b v="1"/>
    <b v="1"/>
    <b v="0"/>
    <b v="0"/>
    <b v="0"/>
    <x v="1"/>
  </r>
  <r>
    <s v="台北市"/>
    <x v="4"/>
    <x v="1"/>
    <n v="32000"/>
    <n v="2"/>
    <n v="1"/>
    <b v="1"/>
    <b v="0"/>
    <b v="1"/>
    <b v="0"/>
    <s v="電梯大樓"/>
    <n v="26"/>
    <n v="9"/>
    <n v="14"/>
    <b v="1"/>
    <b v="1"/>
    <b v="1"/>
    <b v="1"/>
    <b v="1"/>
    <b v="1"/>
    <b v="0"/>
    <b v="1"/>
    <b v="1"/>
    <b v="1"/>
    <x v="0"/>
  </r>
  <r>
    <s v="台北市"/>
    <x v="5"/>
    <x v="0"/>
    <n v="12500"/>
    <n v="1"/>
    <n v="1"/>
    <b v="0"/>
    <b v="1"/>
    <b v="0"/>
    <b v="0"/>
    <s v="電梯大樓"/>
    <n v="9.1999999999999993"/>
    <n v="4"/>
    <n v="8"/>
    <b v="1"/>
    <b v="1"/>
    <b v="1"/>
    <b v="1"/>
    <b v="1"/>
    <b v="1"/>
    <b v="1"/>
    <b v="0"/>
    <b v="1"/>
    <b v="1"/>
    <x v="0"/>
  </r>
  <r>
    <s v="台北市"/>
    <x v="6"/>
    <x v="1"/>
    <n v="28000"/>
    <n v="3"/>
    <n v="2"/>
    <b v="1"/>
    <b v="0"/>
    <b v="1"/>
    <b v="0"/>
    <s v="透天厝"/>
    <n v="32"/>
    <n v="1"/>
    <n v="3"/>
    <b v="1"/>
    <b v="1"/>
    <b v="1"/>
    <b v="1"/>
    <b v="1"/>
    <b v="1"/>
    <b v="0"/>
    <b v="1"/>
    <b v="0"/>
    <b v="1"/>
    <x v="0"/>
  </r>
  <r>
    <s v="台北市"/>
    <x v="7"/>
    <x v="2"/>
    <n v="8300"/>
    <n v="1"/>
    <n v="1"/>
    <b v="0"/>
    <b v="1"/>
    <b v="0"/>
    <b v="0"/>
    <s v="公寓"/>
    <n v="6.8"/>
    <n v="3"/>
    <n v="5"/>
    <b v="1"/>
    <b v="0"/>
    <b v="1"/>
    <b v="1"/>
    <b v="1"/>
    <b v="1"/>
    <b v="1"/>
    <b v="0"/>
    <b v="0"/>
    <b v="0"/>
    <x v="1"/>
  </r>
  <r>
    <s v="台北市"/>
    <x v="8"/>
    <x v="3"/>
    <n v="4900"/>
    <n v="1"/>
    <n v="0"/>
    <b v="1"/>
    <b v="0"/>
    <b v="0"/>
    <b v="1"/>
    <s v="公寓"/>
    <n v="3.9"/>
    <n v="2"/>
    <n v="4"/>
    <b v="0"/>
    <b v="0"/>
    <b v="0"/>
    <b v="1"/>
    <b v="1"/>
    <b v="0"/>
    <b v="1"/>
    <b v="0"/>
    <b v="0"/>
    <b v="0"/>
    <x v="1"/>
  </r>
  <r>
    <s v="台北市"/>
    <x v="9"/>
    <x v="0"/>
    <n v="10500"/>
    <n v="1"/>
    <n v="1"/>
    <b v="1"/>
    <b v="1"/>
    <b v="1"/>
    <b v="0"/>
    <s v="公寓"/>
    <n v="8.5"/>
    <n v="2"/>
    <n v="5"/>
    <b v="1"/>
    <b v="1"/>
    <b v="1"/>
    <b v="1"/>
    <b v="1"/>
    <b v="1"/>
    <b v="1"/>
    <b v="0"/>
    <b v="0"/>
    <b v="1"/>
    <x v="0"/>
  </r>
  <r>
    <s v="台北市"/>
    <x v="10"/>
    <x v="1"/>
    <n v="23000"/>
    <n v="2"/>
    <n v="1"/>
    <b v="1"/>
    <b v="0"/>
    <b v="0"/>
    <b v="0"/>
    <s v="公寓"/>
    <n v="21"/>
    <n v="4"/>
    <n v="5"/>
    <b v="1"/>
    <b v="1"/>
    <b v="1"/>
    <b v="1"/>
    <b v="1"/>
    <b v="1"/>
    <b v="0"/>
    <b v="0"/>
    <b v="0"/>
    <b v="1"/>
    <x v="0"/>
  </r>
  <r>
    <s v="台北市"/>
    <x v="11"/>
    <x v="2"/>
    <n v="8800"/>
    <n v="1"/>
    <n v="1"/>
    <b v="1"/>
    <b v="1"/>
    <b v="0"/>
    <b v="0"/>
    <s v="電梯大樓"/>
    <n v="7"/>
    <n v="5"/>
    <n v="10"/>
    <b v="1"/>
    <b v="0"/>
    <b v="1"/>
    <b v="1"/>
    <b v="1"/>
    <b v="1"/>
    <b v="1"/>
    <b v="0"/>
    <b v="1"/>
    <b v="0"/>
    <x v="1"/>
  </r>
  <r>
    <s v="台北市"/>
    <x v="0"/>
    <x v="3"/>
    <n v="6700"/>
    <n v="1"/>
    <n v="0"/>
    <b v="1"/>
    <b v="0"/>
    <b v="0"/>
    <b v="1"/>
    <s v="公寓"/>
    <n v="5.5"/>
    <n v="3"/>
    <n v="5"/>
    <b v="1"/>
    <b v="0"/>
    <b v="0"/>
    <b v="1"/>
    <b v="1"/>
    <b v="1"/>
    <b v="1"/>
    <b v="0"/>
    <b v="0"/>
    <b v="0"/>
    <x v="1"/>
  </r>
  <r>
    <s v="台北市"/>
    <x v="1"/>
    <x v="1"/>
    <n v="52000"/>
    <n v="4"/>
    <n v="3"/>
    <b v="1"/>
    <b v="0"/>
    <b v="1"/>
    <b v="0"/>
    <s v="電梯大樓"/>
    <n v="45"/>
    <n v="18"/>
    <n v="25"/>
    <b v="1"/>
    <b v="1"/>
    <b v="1"/>
    <b v="1"/>
    <b v="1"/>
    <b v="1"/>
    <b v="0"/>
    <b v="1"/>
    <b v="1"/>
    <b v="1"/>
    <x v="0"/>
  </r>
  <r>
    <s v="台北市"/>
    <x v="2"/>
    <x v="0"/>
    <n v="14500"/>
    <n v="1"/>
    <n v="1"/>
    <b v="1"/>
    <b v="1"/>
    <b v="0"/>
    <b v="0"/>
    <s v="電梯大樓"/>
    <n v="10.5"/>
    <n v="7"/>
    <n v="11"/>
    <b v="1"/>
    <b v="1"/>
    <b v="1"/>
    <b v="1"/>
    <b v="1"/>
    <b v="1"/>
    <b v="1"/>
    <b v="0"/>
    <b v="1"/>
    <b v="1"/>
    <x v="0"/>
  </r>
  <r>
    <s v="台北市"/>
    <x v="3"/>
    <x v="2"/>
    <n v="9800"/>
    <n v="1"/>
    <n v="1"/>
    <b v="1"/>
    <b v="0"/>
    <b v="1"/>
    <b v="1"/>
    <s v="電梯大樓"/>
    <n v="8"/>
    <n v="4"/>
    <n v="7"/>
    <b v="1"/>
    <b v="0"/>
    <b v="1"/>
    <b v="1"/>
    <b v="1"/>
    <b v="1"/>
    <b v="1"/>
    <b v="0"/>
    <b v="1"/>
    <b v="0"/>
    <x v="1"/>
  </r>
  <r>
    <s v="台北市"/>
    <x v="4"/>
    <x v="3"/>
    <n v="5400"/>
    <n v="1"/>
    <n v="0"/>
    <b v="1"/>
    <b v="1"/>
    <b v="0"/>
    <b v="0"/>
    <s v="公寓"/>
    <n v="4.5999999999999996"/>
    <n v="2"/>
    <n v="4"/>
    <b v="1"/>
    <b v="0"/>
    <b v="0"/>
    <b v="1"/>
    <b v="1"/>
    <b v="1"/>
    <b v="1"/>
    <b v="0"/>
    <b v="0"/>
    <b v="0"/>
    <x v="1"/>
  </r>
  <r>
    <s v="台北市"/>
    <x v="5"/>
    <x v="1"/>
    <n v="36000"/>
    <n v="3"/>
    <n v="2"/>
    <b v="0"/>
    <b v="0"/>
    <b v="1"/>
    <b v="0"/>
    <s v="電梯大樓"/>
    <n v="31"/>
    <n v="6"/>
    <n v="12"/>
    <b v="1"/>
    <b v="1"/>
    <b v="1"/>
    <b v="1"/>
    <b v="1"/>
    <b v="1"/>
    <b v="0"/>
    <b v="1"/>
    <b v="1"/>
    <b v="1"/>
    <x v="0"/>
  </r>
  <r>
    <s v="台北市"/>
    <x v="6"/>
    <x v="0"/>
    <n v="11500"/>
    <n v="1"/>
    <n v="1"/>
    <b v="1"/>
    <b v="1"/>
    <b v="0"/>
    <b v="0"/>
    <s v="公寓"/>
    <n v="9.8000000000000007"/>
    <n v="3"/>
    <n v="5"/>
    <b v="1"/>
    <b v="1"/>
    <b v="1"/>
    <b v="1"/>
    <b v="1"/>
    <b v="1"/>
    <b v="1"/>
    <b v="0"/>
    <b v="0"/>
    <b v="1"/>
    <x v="0"/>
  </r>
  <r>
    <s v="台北市"/>
    <x v="7"/>
    <x v="2"/>
    <n v="7600"/>
    <n v="1"/>
    <n v="1"/>
    <b v="0"/>
    <b v="0"/>
    <b v="0"/>
    <b v="0"/>
    <s v="公寓"/>
    <n v="6.3"/>
    <n v="4"/>
    <n v="5"/>
    <b v="1"/>
    <b v="0"/>
    <b v="1"/>
    <b v="1"/>
    <b v="1"/>
    <b v="1"/>
    <b v="1"/>
    <b v="0"/>
    <b v="0"/>
    <b v="0"/>
    <x v="1"/>
  </r>
  <r>
    <s v="台北市"/>
    <x v="8"/>
    <x v="3"/>
    <n v="4700"/>
    <n v="1"/>
    <n v="0"/>
    <b v="1"/>
    <b v="1"/>
    <b v="1"/>
    <b v="1"/>
    <s v="公寓"/>
    <n v="3.7"/>
    <n v="1"/>
    <n v="4"/>
    <b v="0"/>
    <b v="0"/>
    <b v="0"/>
    <b v="1"/>
    <b v="1"/>
    <b v="0"/>
    <b v="1"/>
    <b v="0"/>
    <b v="0"/>
    <b v="0"/>
    <x v="1"/>
  </r>
  <r>
    <s v="台北市"/>
    <x v="9"/>
    <x v="1"/>
    <n v="19500"/>
    <n v="1"/>
    <n v="1"/>
    <b v="1"/>
    <b v="0"/>
    <b v="0"/>
    <b v="0"/>
    <s v="公寓"/>
    <n v="16"/>
    <n v="2"/>
    <n v="5"/>
    <b v="1"/>
    <b v="1"/>
    <b v="1"/>
    <b v="1"/>
    <b v="1"/>
    <b v="1"/>
    <b v="0"/>
    <b v="0"/>
    <b v="0"/>
    <b v="1"/>
    <x v="0"/>
  </r>
  <r>
    <s v="台北市"/>
    <x v="10"/>
    <x v="0"/>
    <n v="12800"/>
    <n v="1"/>
    <n v="1"/>
    <b v="1"/>
    <b v="1"/>
    <b v="0"/>
    <b v="0"/>
    <s v="電梯大樓"/>
    <n v="9"/>
    <n v="5"/>
    <n v="8"/>
    <b v="1"/>
    <b v="1"/>
    <b v="1"/>
    <b v="1"/>
    <b v="1"/>
    <b v="1"/>
    <b v="1"/>
    <b v="0"/>
    <b v="1"/>
    <b v="1"/>
    <x v="0"/>
  </r>
  <r>
    <s v="台北市"/>
    <x v="11"/>
    <x v="2"/>
    <n v="8100"/>
    <n v="1"/>
    <n v="1"/>
    <b v="1"/>
    <b v="0"/>
    <b v="0"/>
    <b v="1"/>
    <s v="公寓"/>
    <n v="6.5"/>
    <n v="3"/>
    <n v="5"/>
    <b v="1"/>
    <b v="0"/>
    <b v="1"/>
    <b v="1"/>
    <b v="1"/>
    <b v="1"/>
    <b v="1"/>
    <b v="0"/>
    <b v="0"/>
    <b v="0"/>
    <x v="1"/>
  </r>
  <r>
    <s v="台北市"/>
    <x v="0"/>
    <x v="3"/>
    <n v="7100"/>
    <n v="1"/>
    <n v="0"/>
    <b v="1"/>
    <b v="1"/>
    <b v="0"/>
    <b v="0"/>
    <s v="公寓"/>
    <n v="5.8"/>
    <n v="4"/>
    <n v="5"/>
    <b v="1"/>
    <b v="0"/>
    <b v="0"/>
    <b v="1"/>
    <b v="1"/>
    <b v="1"/>
    <b v="1"/>
    <b v="0"/>
    <b v="0"/>
    <b v="0"/>
    <x v="1"/>
  </r>
  <r>
    <s v="台北市"/>
    <x v="1"/>
    <x v="1"/>
    <n v="58000"/>
    <n v="5"/>
    <n v="3"/>
    <b v="1"/>
    <b v="0"/>
    <b v="1"/>
    <b v="0"/>
    <s v="電梯大樓"/>
    <n v="50"/>
    <n v="20"/>
    <n v="25"/>
    <b v="1"/>
    <b v="1"/>
    <b v="1"/>
    <b v="1"/>
    <b v="1"/>
    <b v="1"/>
    <b v="0"/>
    <b v="1"/>
    <b v="1"/>
    <b v="1"/>
    <x v="0"/>
  </r>
  <r>
    <s v="台北市"/>
    <x v="2"/>
    <x v="0"/>
    <n v="15500"/>
    <n v="1"/>
    <n v="1"/>
    <b v="1"/>
    <b v="1"/>
    <b v="1"/>
    <b v="0"/>
    <s v="電梯大樓"/>
    <n v="11.5"/>
    <n v="9"/>
    <n v="13"/>
    <b v="1"/>
    <b v="1"/>
    <b v="1"/>
    <b v="1"/>
    <b v="1"/>
    <b v="1"/>
    <b v="1"/>
    <b v="0"/>
    <b v="1"/>
    <b v="1"/>
    <x v="0"/>
  </r>
  <r>
    <s v="台北市"/>
    <x v="3"/>
    <x v="2"/>
    <n v="10500"/>
    <n v="1"/>
    <n v="1"/>
    <b v="1"/>
    <b v="0"/>
    <b v="0"/>
    <b v="1"/>
    <s v="電梯大樓"/>
    <n v="8.5"/>
    <n v="5"/>
    <n v="8"/>
    <b v="1"/>
    <b v="0"/>
    <b v="1"/>
    <b v="1"/>
    <b v="1"/>
    <b v="1"/>
    <b v="1"/>
    <b v="0"/>
    <b v="1"/>
    <b v="0"/>
    <x v="1"/>
  </r>
  <r>
    <s v="台北市"/>
    <x v="4"/>
    <x v="3"/>
    <n v="5900"/>
    <n v="1"/>
    <n v="0"/>
    <b v="1"/>
    <b v="1"/>
    <b v="0"/>
    <b v="0"/>
    <s v="公寓"/>
    <n v="4.9000000000000004"/>
    <n v="2"/>
    <n v="4"/>
    <b v="1"/>
    <b v="0"/>
    <b v="0"/>
    <b v="1"/>
    <b v="1"/>
    <b v="1"/>
    <b v="1"/>
    <b v="0"/>
    <b v="0"/>
    <b v="0"/>
    <x v="1"/>
  </r>
  <r>
    <s v="台北市"/>
    <x v="5"/>
    <x v="1"/>
    <n v="40000"/>
    <n v="4"/>
    <n v="2"/>
    <b v="0"/>
    <b v="0"/>
    <b v="1"/>
    <b v="0"/>
    <s v="電梯大樓"/>
    <n v="35"/>
    <n v="7"/>
    <n v="12"/>
    <b v="1"/>
    <b v="1"/>
    <b v="1"/>
    <b v="1"/>
    <b v="1"/>
    <b v="1"/>
    <b v="0"/>
    <b v="1"/>
    <b v="1"/>
    <b v="1"/>
    <x v="0"/>
  </r>
  <r>
    <s v="台北市"/>
    <x v="6"/>
    <x v="0"/>
    <n v="13500"/>
    <n v="1"/>
    <n v="1"/>
    <b v="1"/>
    <b v="1"/>
    <b v="0"/>
    <b v="0"/>
    <s v="公寓"/>
    <n v="10.199999999999999"/>
    <n v="4"/>
    <n v="5"/>
    <b v="1"/>
    <b v="1"/>
    <b v="1"/>
    <b v="1"/>
    <b v="1"/>
    <b v="1"/>
    <b v="1"/>
    <b v="0"/>
    <b v="0"/>
    <b v="1"/>
    <x v="0"/>
  </r>
  <r>
    <s v="台北市"/>
    <x v="7"/>
    <x v="2"/>
    <n v="7900"/>
    <n v="1"/>
    <n v="1"/>
    <b v="0"/>
    <b v="0"/>
    <b v="1"/>
    <b v="0"/>
    <s v="公寓"/>
    <n v="6"/>
    <n v="3"/>
    <n v="5"/>
    <b v="1"/>
    <b v="0"/>
    <b v="1"/>
    <b v="1"/>
    <b v="1"/>
    <b v="1"/>
    <b v="1"/>
    <b v="0"/>
    <b v="0"/>
    <b v="0"/>
    <x v="1"/>
  </r>
  <r>
    <s v="台北市"/>
    <x v="8"/>
    <x v="3"/>
    <n v="4600"/>
    <n v="1"/>
    <n v="0"/>
    <b v="1"/>
    <b v="1"/>
    <b v="0"/>
    <b v="1"/>
    <s v="公寓"/>
    <n v="3.5"/>
    <n v="1"/>
    <n v="4"/>
    <b v="0"/>
    <b v="0"/>
    <b v="0"/>
    <b v="1"/>
    <b v="1"/>
    <b v="0"/>
    <b v="1"/>
    <b v="0"/>
    <b v="0"/>
    <b v="0"/>
    <x v="1"/>
  </r>
  <r>
    <s v="台北市"/>
    <x v="9"/>
    <x v="1"/>
    <n v="21000"/>
    <n v="2"/>
    <n v="1"/>
    <b v="1"/>
    <b v="0"/>
    <b v="0"/>
    <b v="0"/>
    <s v="公寓"/>
    <n v="18"/>
    <n v="3"/>
    <n v="5"/>
    <b v="1"/>
    <b v="1"/>
    <b v="1"/>
    <b v="1"/>
    <b v="1"/>
    <b v="1"/>
    <b v="0"/>
    <b v="0"/>
    <b v="0"/>
    <b v="1"/>
    <x v="0"/>
  </r>
  <r>
    <s v="台北市"/>
    <x v="10"/>
    <x v="0"/>
    <n v="14200"/>
    <n v="1"/>
    <n v="1"/>
    <b v="1"/>
    <b v="1"/>
    <b v="1"/>
    <b v="0"/>
    <s v="電梯大樓"/>
    <n v="10.8"/>
    <n v="6"/>
    <n v="10"/>
    <b v="1"/>
    <b v="1"/>
    <b v="1"/>
    <b v="1"/>
    <b v="1"/>
    <b v="1"/>
    <b v="1"/>
    <b v="0"/>
    <b v="1"/>
    <b v="1"/>
    <x v="0"/>
  </r>
  <r>
    <s v="台北市"/>
    <x v="11"/>
    <x v="2"/>
    <n v="8700"/>
    <n v="1"/>
    <n v="1"/>
    <b v="1"/>
    <b v="0"/>
    <b v="0"/>
    <b v="1"/>
    <s v="公寓"/>
    <n v="6.7"/>
    <n v="4"/>
    <n v="5"/>
    <b v="1"/>
    <b v="0"/>
    <b v="1"/>
    <b v="1"/>
    <b v="1"/>
    <b v="1"/>
    <b v="1"/>
    <b v="0"/>
    <b v="0"/>
    <b v="0"/>
    <x v="1"/>
  </r>
  <r>
    <s v="台北市"/>
    <x v="0"/>
    <x v="3"/>
    <n v="6800"/>
    <n v="1"/>
    <n v="0"/>
    <b v="1"/>
    <b v="1"/>
    <b v="0"/>
    <b v="0"/>
    <s v="公寓"/>
    <n v="5.3"/>
    <n v="3"/>
    <n v="5"/>
    <b v="1"/>
    <b v="0"/>
    <b v="0"/>
    <b v="1"/>
    <b v="1"/>
    <b v="1"/>
    <b v="1"/>
    <b v="0"/>
    <b v="0"/>
    <b v="0"/>
    <x v="1"/>
  </r>
  <r>
    <s v="台北市"/>
    <x v="1"/>
    <x v="1"/>
    <n v="62000"/>
    <n v="5"/>
    <n v="3"/>
    <b v="1"/>
    <b v="0"/>
    <b v="1"/>
    <b v="0"/>
    <s v="電梯大樓"/>
    <n v="55"/>
    <n v="22"/>
    <n v="28"/>
    <b v="1"/>
    <b v="1"/>
    <b v="1"/>
    <b v="1"/>
    <b v="1"/>
    <b v="1"/>
    <b v="0"/>
    <b v="1"/>
    <b v="1"/>
    <b v="1"/>
    <x v="0"/>
  </r>
  <r>
    <s v="台北市"/>
    <x v="2"/>
    <x v="0"/>
    <n v="16500"/>
    <n v="1"/>
    <n v="1"/>
    <b v="1"/>
    <b v="1"/>
    <b v="0"/>
    <b v="0"/>
    <s v="電梯大樓"/>
    <n v="12.5"/>
    <n v="10"/>
    <n v="15"/>
    <b v="1"/>
    <b v="1"/>
    <b v="1"/>
    <b v="1"/>
    <b v="1"/>
    <b v="1"/>
    <b v="1"/>
    <b v="0"/>
    <b v="1"/>
    <b v="1"/>
    <x v="0"/>
  </r>
  <r>
    <s v="台北市"/>
    <x v="3"/>
    <x v="2"/>
    <n v="11200"/>
    <n v="1"/>
    <n v="1"/>
    <b v="1"/>
    <b v="0"/>
    <b v="1"/>
    <b v="1"/>
    <s v="電梯大樓"/>
    <n v="9"/>
    <n v="6"/>
    <n v="9"/>
    <b v="1"/>
    <b v="0"/>
    <b v="1"/>
    <b v="1"/>
    <b v="1"/>
    <b v="1"/>
    <b v="1"/>
    <b v="0"/>
    <b v="1"/>
    <b v="0"/>
    <x v="1"/>
  </r>
  <r>
    <s v="台北市"/>
    <x v="4"/>
    <x v="3"/>
    <n v="6100"/>
    <n v="1"/>
    <n v="0"/>
    <b v="1"/>
    <b v="1"/>
    <b v="0"/>
    <b v="0"/>
    <s v="公寓"/>
    <n v="5"/>
    <n v="2"/>
    <n v="4"/>
    <b v="1"/>
    <b v="0"/>
    <b v="0"/>
    <b v="1"/>
    <b v="1"/>
    <b v="1"/>
    <b v="1"/>
    <b v="0"/>
    <b v="0"/>
    <b v="0"/>
    <x v="1"/>
  </r>
  <r>
    <s v="台北市"/>
    <x v="5"/>
    <x v="1"/>
    <n v="44000"/>
    <n v="4"/>
    <n v="2"/>
    <b v="0"/>
    <b v="0"/>
    <b v="1"/>
    <b v="0"/>
    <s v="電梯大樓"/>
    <n v="38"/>
    <n v="8"/>
    <n v="14"/>
    <b v="1"/>
    <b v="1"/>
    <b v="1"/>
    <b v="1"/>
    <b v="1"/>
    <b v="1"/>
    <b v="0"/>
    <b v="1"/>
    <b v="1"/>
    <b v="1"/>
    <x v="0"/>
  </r>
  <r>
    <s v="台北市"/>
    <x v="6"/>
    <x v="0"/>
    <n v="14800"/>
    <n v="1"/>
    <n v="1"/>
    <b v="1"/>
    <b v="1"/>
    <b v="0"/>
    <b v="0"/>
    <s v="公寓"/>
    <n v="11.2"/>
    <n v="5"/>
    <n v="5"/>
    <b v="1"/>
    <b v="1"/>
    <b v="1"/>
    <b v="1"/>
    <b v="1"/>
    <b v="1"/>
    <b v="1"/>
    <b v="0"/>
    <b v="0"/>
    <b v="1"/>
    <x v="0"/>
  </r>
  <r>
    <s v="台北市"/>
    <x v="7"/>
    <x v="2"/>
    <n v="8200"/>
    <n v="1"/>
    <n v="1"/>
    <b v="0"/>
    <b v="0"/>
    <b v="0"/>
    <b v="0"/>
    <s v="公寓"/>
    <n v="6.2"/>
    <n v="4"/>
    <n v="5"/>
    <b v="1"/>
    <b v="0"/>
    <b v="1"/>
    <b v="1"/>
    <b v="1"/>
    <b v="1"/>
    <b v="1"/>
    <b v="0"/>
    <b v="0"/>
    <b v="0"/>
    <x v="1"/>
  </r>
  <r>
    <s v="台北市"/>
    <x v="8"/>
    <x v="3"/>
    <n v="4500"/>
    <n v="1"/>
    <n v="0"/>
    <b v="1"/>
    <b v="1"/>
    <b v="1"/>
    <b v="1"/>
    <s v="公寓"/>
    <n v="3.3"/>
    <n v="1"/>
    <n v="4"/>
    <b v="0"/>
    <b v="0"/>
    <b v="0"/>
    <b v="1"/>
    <b v="1"/>
    <b v="0"/>
    <b v="1"/>
    <b v="0"/>
    <b v="0"/>
    <b v="0"/>
    <x v="1"/>
  </r>
  <r>
    <s v="台北市"/>
    <x v="9"/>
    <x v="1"/>
    <n v="24000"/>
    <n v="2"/>
    <n v="1"/>
    <b v="1"/>
    <b v="0"/>
    <b v="0"/>
    <b v="0"/>
    <s v="公寓"/>
    <n v="19"/>
    <n v="3"/>
    <n v="5"/>
    <b v="1"/>
    <b v="1"/>
    <b v="1"/>
    <b v="1"/>
    <b v="1"/>
    <b v="1"/>
    <b v="0"/>
    <b v="0"/>
    <b v="0"/>
    <b v="1"/>
    <x v="0"/>
  </r>
  <r>
    <s v="台北市"/>
    <x v="10"/>
    <x v="0"/>
    <n v="13800"/>
    <n v="1"/>
    <n v="1"/>
    <b v="1"/>
    <b v="1"/>
    <b v="0"/>
    <b v="0"/>
    <s v="電梯大樓"/>
    <n v="10"/>
    <n v="7"/>
    <n v="12"/>
    <b v="1"/>
    <b v="1"/>
    <b v="1"/>
    <b v="1"/>
    <b v="1"/>
    <b v="1"/>
    <b v="1"/>
    <b v="0"/>
    <b v="1"/>
    <b v="1"/>
    <x v="0"/>
  </r>
  <r>
    <s v="台北市"/>
    <x v="11"/>
    <x v="2"/>
    <n v="9000"/>
    <n v="1"/>
    <n v="1"/>
    <b v="1"/>
    <b v="0"/>
    <b v="0"/>
    <b v="1"/>
    <s v="公寓"/>
    <n v="7.3"/>
    <n v="3"/>
    <n v="5"/>
    <b v="1"/>
    <b v="0"/>
    <b v="1"/>
    <b v="1"/>
    <b v="1"/>
    <b v="1"/>
    <b v="1"/>
    <b v="0"/>
    <b v="0"/>
    <b v="0"/>
    <x v="1"/>
  </r>
  <r>
    <s v="台北市"/>
    <x v="0"/>
    <x v="3"/>
    <n v="6900"/>
    <n v="1"/>
    <n v="0"/>
    <b v="1"/>
    <b v="1"/>
    <b v="0"/>
    <b v="0"/>
    <s v="公寓"/>
    <n v="5.6"/>
    <n v="4"/>
    <n v="5"/>
    <b v="1"/>
    <b v="0"/>
    <b v="0"/>
    <b v="1"/>
    <b v="1"/>
    <b v="1"/>
    <b v="1"/>
    <b v="0"/>
    <b v="0"/>
    <b v="0"/>
    <x v="1"/>
  </r>
  <r>
    <s v="台北市"/>
    <x v="1"/>
    <x v="1"/>
    <n v="68000"/>
    <n v="5"/>
    <n v="3"/>
    <b v="1"/>
    <b v="0"/>
    <b v="1"/>
    <b v="0"/>
    <s v="電梯大樓"/>
    <n v="60"/>
    <n v="25"/>
    <n v="30"/>
    <b v="1"/>
    <b v="1"/>
    <b v="1"/>
    <b v="1"/>
    <b v="1"/>
    <b v="1"/>
    <b v="0"/>
    <b v="1"/>
    <b v="1"/>
    <b v="1"/>
    <x v="0"/>
  </r>
  <r>
    <s v="台北市"/>
    <x v="2"/>
    <x v="0"/>
    <n v="17200"/>
    <n v="1"/>
    <n v="1"/>
    <b v="1"/>
    <b v="1"/>
    <b v="1"/>
    <b v="0"/>
    <s v="電梯大樓"/>
    <n v="13"/>
    <n v="11"/>
    <n v="16"/>
    <b v="1"/>
    <b v="1"/>
    <b v="1"/>
    <b v="1"/>
    <b v="1"/>
    <b v="1"/>
    <b v="1"/>
    <b v="0"/>
    <b v="1"/>
    <b v="1"/>
    <x v="0"/>
  </r>
  <r>
    <s v="台北市"/>
    <x v="3"/>
    <x v="2"/>
    <n v="11800"/>
    <n v="1"/>
    <n v="1"/>
    <b v="1"/>
    <b v="0"/>
    <b v="0"/>
    <b v="1"/>
    <s v="電梯大樓"/>
    <n v="9.5"/>
    <n v="7"/>
    <n v="10"/>
    <b v="1"/>
    <b v="0"/>
    <b v="1"/>
    <b v="1"/>
    <b v="1"/>
    <b v="1"/>
    <b v="1"/>
    <b v="0"/>
    <b v="1"/>
    <b v="0"/>
    <x v="1"/>
  </r>
  <r>
    <s v="台北市"/>
    <x v="4"/>
    <x v="3"/>
    <n v="6300"/>
    <n v="1"/>
    <n v="0"/>
    <b v="1"/>
    <b v="1"/>
    <b v="0"/>
    <b v="0"/>
    <s v="公寓"/>
    <n v="5.0999999999999996"/>
    <n v="2"/>
    <n v="4"/>
    <b v="1"/>
    <b v="0"/>
    <b v="0"/>
    <b v="1"/>
    <b v="1"/>
    <b v="1"/>
    <b v="1"/>
    <b v="0"/>
    <b v="0"/>
    <b v="0"/>
    <x v="1"/>
  </r>
  <r>
    <s v="台北市"/>
    <x v="5"/>
    <x v="1"/>
    <n v="48000"/>
    <n v="4"/>
    <n v="2"/>
    <b v="0"/>
    <b v="0"/>
    <b v="1"/>
    <b v="0"/>
    <s v="電梯大樓"/>
    <n v="42"/>
    <n v="9"/>
    <n v="15"/>
    <b v="1"/>
    <b v="1"/>
    <b v="1"/>
    <b v="1"/>
    <b v="1"/>
    <b v="1"/>
    <b v="0"/>
    <b v="1"/>
    <b v="1"/>
    <b v="1"/>
    <x v="0"/>
  </r>
  <r>
    <s v="台北市"/>
    <x v="6"/>
    <x v="0"/>
    <n v="15800"/>
    <n v="1"/>
    <n v="1"/>
    <b v="1"/>
    <b v="1"/>
    <b v="0"/>
    <b v="0"/>
    <s v="公寓"/>
    <n v="12"/>
    <n v="4"/>
    <n v="5"/>
    <b v="1"/>
    <b v="1"/>
    <b v="1"/>
    <b v="1"/>
    <b v="1"/>
    <b v="1"/>
    <b v="1"/>
    <b v="0"/>
    <b v="0"/>
    <b v="1"/>
    <x v="0"/>
  </r>
  <r>
    <s v="台北市"/>
    <x v="7"/>
    <x v="2"/>
    <n v="8400"/>
    <n v="1"/>
    <n v="1"/>
    <b v="0"/>
    <b v="0"/>
    <b v="1"/>
    <b v="0"/>
    <s v="公寓"/>
    <n v="6.4"/>
    <n v="3"/>
    <n v="5"/>
    <b v="1"/>
    <b v="0"/>
    <b v="1"/>
    <b v="1"/>
    <b v="1"/>
    <b v="1"/>
    <b v="1"/>
    <b v="0"/>
    <b v="0"/>
    <b v="0"/>
    <x v="1"/>
  </r>
  <r>
    <s v="台北市"/>
    <x v="8"/>
    <x v="3"/>
    <n v="4400"/>
    <n v="1"/>
    <n v="0"/>
    <b v="1"/>
    <b v="1"/>
    <b v="0"/>
    <b v="1"/>
    <s v="公寓"/>
    <n v="3.2"/>
    <n v="1"/>
    <n v="4"/>
    <b v="0"/>
    <b v="0"/>
    <b v="0"/>
    <b v="1"/>
    <b v="1"/>
    <b v="0"/>
    <b v="1"/>
    <b v="0"/>
    <b v="0"/>
    <b v="0"/>
    <x v="1"/>
  </r>
  <r>
    <s v="台北市"/>
    <x v="9"/>
    <x v="1"/>
    <n v="27000"/>
    <n v="3"/>
    <n v="2"/>
    <b v="1"/>
    <b v="0"/>
    <b v="0"/>
    <b v="0"/>
    <s v="公寓"/>
    <n v="23"/>
    <n v="2"/>
    <n v="5"/>
    <b v="1"/>
    <b v="1"/>
    <b v="1"/>
    <b v="1"/>
    <b v="1"/>
    <b v="1"/>
    <b v="0"/>
    <b v="0"/>
    <b v="0"/>
    <b v="1"/>
    <x v="0"/>
  </r>
  <r>
    <s v="台北市"/>
    <x v="10"/>
    <x v="0"/>
    <n v="14800"/>
    <n v="1"/>
    <n v="1"/>
    <b v="1"/>
    <b v="1"/>
    <b v="1"/>
    <b v="0"/>
    <s v="電梯大樓"/>
    <n v="11.8"/>
    <n v="8"/>
    <n v="12"/>
    <b v="1"/>
    <b v="1"/>
    <b v="1"/>
    <b v="1"/>
    <b v="1"/>
    <b v="1"/>
    <b v="1"/>
    <b v="0"/>
    <b v="1"/>
    <b v="1"/>
    <x v="0"/>
  </r>
  <r>
    <s v="台北市"/>
    <x v="11"/>
    <x v="2"/>
    <n v="9300"/>
    <n v="1"/>
    <n v="1"/>
    <b v="1"/>
    <b v="0"/>
    <b v="0"/>
    <b v="1"/>
    <s v="公寓"/>
    <n v="7.1"/>
    <n v="4"/>
    <n v="5"/>
    <b v="1"/>
    <b v="0"/>
    <b v="1"/>
    <b v="1"/>
    <b v="1"/>
    <b v="1"/>
    <b v="1"/>
    <b v="0"/>
    <b v="0"/>
    <b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台北市"/>
    <x v="0"/>
    <s v="獨立套房"/>
    <x v="0"/>
    <n v="1"/>
    <n v="1"/>
    <x v="0"/>
    <b v="1"/>
    <b v="0"/>
    <b v="0"/>
    <s v="電梯大樓"/>
    <n v="8.5"/>
    <n v="5"/>
    <n v="12"/>
    <b v="1"/>
    <b v="1"/>
    <b v="1"/>
    <b v="1"/>
    <b v="1"/>
    <b v="1"/>
    <b v="1"/>
    <b v="0"/>
    <b v="1"/>
    <b v="1"/>
    <b v="1"/>
    <x v="0"/>
  </r>
  <r>
    <s v="台北市"/>
    <x v="1"/>
    <s v="整層住家"/>
    <x v="1"/>
    <n v="3"/>
    <n v="2"/>
    <x v="0"/>
    <b v="0"/>
    <b v="1"/>
    <b v="0"/>
    <s v="公寓"/>
    <n v="28"/>
    <n v="3"/>
    <n v="5"/>
    <b v="1"/>
    <b v="1"/>
    <b v="1"/>
    <b v="1"/>
    <b v="1"/>
    <b v="1"/>
    <b v="0"/>
    <b v="0"/>
    <b v="0"/>
    <b v="1"/>
    <b v="1"/>
    <x v="1"/>
  </r>
  <r>
    <s v="台北市"/>
    <x v="2"/>
    <s v="分租套房"/>
    <x v="2"/>
    <n v="1"/>
    <n v="1"/>
    <x v="0"/>
    <b v="0"/>
    <b v="0"/>
    <b v="1"/>
    <s v="電梯大樓"/>
    <n v="6"/>
    <n v="7"/>
    <n v="10"/>
    <b v="1"/>
    <b v="0"/>
    <b v="1"/>
    <b v="1"/>
    <b v="0"/>
    <b v="1"/>
    <b v="1"/>
    <b v="0"/>
    <b v="1"/>
    <b v="0"/>
    <b v="0"/>
    <x v="0"/>
  </r>
  <r>
    <s v="台北市"/>
    <x v="3"/>
    <s v="雅房"/>
    <x v="3"/>
    <n v="1"/>
    <n v="0"/>
    <x v="1"/>
    <b v="1"/>
    <b v="0"/>
    <b v="0"/>
    <s v="公寓"/>
    <n v="4.5"/>
    <n v="2"/>
    <n v="4"/>
    <b v="1"/>
    <b v="0"/>
    <b v="0"/>
    <b v="1"/>
    <b v="1"/>
    <b v="1"/>
    <b v="1"/>
    <b v="0"/>
    <b v="0"/>
    <b v="0"/>
    <b v="0"/>
    <x v="1"/>
  </r>
  <r>
    <s v="台北市"/>
    <x v="4"/>
    <s v="整層住家"/>
    <x v="4"/>
    <n v="2"/>
    <n v="1"/>
    <x v="0"/>
    <b v="0"/>
    <b v="1"/>
    <b v="0"/>
    <s v="電梯大樓"/>
    <n v="18"/>
    <n v="8"/>
    <n v="15"/>
    <b v="1"/>
    <b v="1"/>
    <b v="1"/>
    <b v="1"/>
    <b v="1"/>
    <b v="1"/>
    <b v="0"/>
    <b v="1"/>
    <b v="1"/>
    <b v="1"/>
    <b v="1"/>
    <x v="0"/>
  </r>
  <r>
    <s v="台北市"/>
    <x v="5"/>
    <s v="獨立套房"/>
    <x v="5"/>
    <n v="1"/>
    <n v="1"/>
    <x v="1"/>
    <b v="1"/>
    <b v="1"/>
    <b v="0"/>
    <s v="電梯大樓"/>
    <n v="10"/>
    <n v="6"/>
    <n v="12"/>
    <b v="1"/>
    <b v="1"/>
    <b v="1"/>
    <b v="1"/>
    <b v="1"/>
    <b v="1"/>
    <b v="1"/>
    <b v="1"/>
    <b v="1"/>
    <b v="1"/>
    <b v="1"/>
    <x v="0"/>
  </r>
  <r>
    <s v="台北市"/>
    <x v="6"/>
    <s v="整層住家"/>
    <x v="6"/>
    <n v="4"/>
    <n v="2"/>
    <x v="1"/>
    <b v="0"/>
    <b v="0"/>
    <b v="0"/>
    <s v="透天厝"/>
    <n v="35"/>
    <n v="1"/>
    <n v="3"/>
    <b v="1"/>
    <b v="1"/>
    <b v="1"/>
    <b v="1"/>
    <b v="1"/>
    <b v="1"/>
    <b v="0"/>
    <b v="1"/>
    <b v="0"/>
    <b v="1"/>
    <b v="1"/>
    <x v="1"/>
  </r>
  <r>
    <s v="台北市"/>
    <x v="7"/>
    <s v="分租套房"/>
    <x v="7"/>
    <n v="1"/>
    <n v="1"/>
    <x v="1"/>
    <b v="1"/>
    <b v="0"/>
    <b v="0"/>
    <s v="公寓"/>
    <n v="5.5"/>
    <n v="4"/>
    <n v="5"/>
    <b v="1"/>
    <b v="0"/>
    <b v="1"/>
    <b v="1"/>
    <b v="1"/>
    <b v="1"/>
    <b v="1"/>
    <b v="0"/>
    <b v="0"/>
    <b v="0"/>
    <b v="0"/>
    <x v="0"/>
  </r>
  <r>
    <s v="台北市"/>
    <x v="8"/>
    <s v="雅房"/>
    <x v="8"/>
    <n v="1"/>
    <n v="0"/>
    <x v="0"/>
    <b v="0"/>
    <b v="1"/>
    <b v="1"/>
    <s v="公寓"/>
    <n v="4"/>
    <n v="3"/>
    <n v="4"/>
    <b v="0"/>
    <b v="0"/>
    <b v="0"/>
    <b v="1"/>
    <b v="1"/>
    <b v="0"/>
    <b v="1"/>
    <b v="0"/>
    <b v="0"/>
    <b v="0"/>
    <b v="0"/>
    <x v="1"/>
  </r>
  <r>
    <s v="台北市"/>
    <x v="9"/>
    <s v="獨立套房"/>
    <x v="9"/>
    <n v="1"/>
    <n v="1"/>
    <x v="0"/>
    <b v="1"/>
    <b v="0"/>
    <b v="0"/>
    <s v="公寓"/>
    <n v="7"/>
    <n v="2"/>
    <n v="5"/>
    <b v="1"/>
    <b v="1"/>
    <b v="1"/>
    <b v="1"/>
    <b v="1"/>
    <b v="1"/>
    <b v="1"/>
    <b v="0"/>
    <b v="0"/>
    <b v="0"/>
    <b v="1"/>
    <x v="1"/>
  </r>
  <r>
    <s v="台北市"/>
    <x v="10"/>
    <s v="整層住家"/>
    <x v="10"/>
    <n v="2"/>
    <n v="1"/>
    <x v="0"/>
    <b v="0"/>
    <b v="1"/>
    <b v="0"/>
    <s v="公寓"/>
    <n v="20"/>
    <n v="3"/>
    <n v="5"/>
    <b v="1"/>
    <b v="1"/>
    <b v="1"/>
    <b v="1"/>
    <b v="1"/>
    <b v="1"/>
    <b v="0"/>
    <b v="0"/>
    <b v="0"/>
    <b v="1"/>
    <b v="1"/>
    <x v="1"/>
  </r>
  <r>
    <s v="台北市"/>
    <x v="11"/>
    <s v="獨立套房"/>
    <x v="11"/>
    <n v="1"/>
    <n v="1"/>
    <x v="0"/>
    <b v="1"/>
    <b v="0"/>
    <b v="0"/>
    <s v="電梯大樓"/>
    <n v="9"/>
    <n v="10"/>
    <n v="15"/>
    <b v="1"/>
    <b v="1"/>
    <b v="1"/>
    <b v="1"/>
    <b v="1"/>
    <b v="1"/>
    <b v="1"/>
    <b v="0"/>
    <b v="1"/>
    <b v="1"/>
    <b v="1"/>
    <x v="2"/>
  </r>
  <r>
    <s v="台北市"/>
    <x v="0"/>
    <s v="整層住家"/>
    <x v="12"/>
    <n v="3"/>
    <n v="2"/>
    <x v="0"/>
    <b v="0"/>
    <b v="0"/>
    <b v="0"/>
    <s v="電梯大樓"/>
    <n v="32"/>
    <n v="7"/>
    <n v="12"/>
    <b v="1"/>
    <b v="1"/>
    <b v="1"/>
    <b v="1"/>
    <b v="1"/>
    <b v="1"/>
    <b v="0"/>
    <b v="1"/>
    <b v="1"/>
    <b v="1"/>
    <b v="1"/>
    <x v="0"/>
  </r>
  <r>
    <s v="台北市"/>
    <x v="1"/>
    <s v="分租套房"/>
    <x v="13"/>
    <n v="1"/>
    <n v="1"/>
    <x v="0"/>
    <b v="1"/>
    <b v="0"/>
    <b v="1"/>
    <s v="電梯大樓"/>
    <n v="7.5"/>
    <n v="5"/>
    <n v="8"/>
    <b v="1"/>
    <b v="0"/>
    <b v="1"/>
    <b v="1"/>
    <b v="1"/>
    <b v="1"/>
    <b v="1"/>
    <b v="0"/>
    <b v="1"/>
    <b v="0"/>
    <b v="0"/>
    <x v="0"/>
  </r>
  <r>
    <s v="台北市"/>
    <x v="2"/>
    <s v="雅房"/>
    <x v="14"/>
    <n v="1"/>
    <n v="0"/>
    <x v="0"/>
    <b v="0"/>
    <b v="0"/>
    <b v="0"/>
    <s v="公寓"/>
    <n v="5"/>
    <n v="1"/>
    <n v="4"/>
    <b v="1"/>
    <b v="0"/>
    <b v="0"/>
    <b v="1"/>
    <b v="1"/>
    <b v="1"/>
    <b v="1"/>
    <b v="0"/>
    <b v="0"/>
    <b v="0"/>
    <b v="0"/>
    <x v="1"/>
  </r>
  <r>
    <s v="台北市"/>
    <x v="3"/>
    <s v="獨立套房"/>
    <x v="15"/>
    <n v="1"/>
    <n v="1"/>
    <x v="0"/>
    <b v="1"/>
    <b v="1"/>
    <b v="0"/>
    <s v="電梯大樓"/>
    <n v="8"/>
    <n v="9"/>
    <n v="14"/>
    <b v="1"/>
    <b v="1"/>
    <b v="1"/>
    <b v="1"/>
    <b v="1"/>
    <b v="1"/>
    <b v="1"/>
    <b v="0"/>
    <b v="1"/>
    <b v="1"/>
    <b v="1"/>
    <x v="2"/>
  </r>
  <r>
    <s v="台北市"/>
    <x v="4"/>
    <s v="整層住家"/>
    <x v="16"/>
    <n v="3"/>
    <n v="2"/>
    <x v="0"/>
    <b v="0"/>
    <b v="1"/>
    <b v="0"/>
    <s v="電梯大樓"/>
    <n v="30"/>
    <n v="12"/>
    <n v="20"/>
    <b v="1"/>
    <b v="1"/>
    <b v="1"/>
    <b v="1"/>
    <b v="1"/>
    <b v="1"/>
    <b v="0"/>
    <b v="1"/>
    <b v="1"/>
    <b v="1"/>
    <b v="1"/>
    <x v="2"/>
  </r>
  <r>
    <s v="台北市"/>
    <x v="5"/>
    <s v="分租套房"/>
    <x v="17"/>
    <n v="1"/>
    <n v="1"/>
    <x v="1"/>
    <b v="0"/>
    <b v="0"/>
    <b v="0"/>
    <s v="公寓"/>
    <n v="6.5"/>
    <n v="3"/>
    <n v="6"/>
    <b v="1"/>
    <b v="0"/>
    <b v="1"/>
    <b v="1"/>
    <b v="1"/>
    <b v="1"/>
    <b v="1"/>
    <b v="0"/>
    <b v="0"/>
    <b v="0"/>
    <b v="0"/>
    <x v="1"/>
  </r>
  <r>
    <s v="台北市"/>
    <x v="6"/>
    <s v="雅房"/>
    <x v="18"/>
    <n v="1"/>
    <n v="0"/>
    <x v="1"/>
    <b v="1"/>
    <b v="0"/>
    <b v="1"/>
    <s v="公寓"/>
    <n v="4.2"/>
    <n v="2"/>
    <n v="4"/>
    <b v="1"/>
    <b v="0"/>
    <b v="0"/>
    <b v="1"/>
    <b v="1"/>
    <b v="1"/>
    <b v="1"/>
    <b v="0"/>
    <b v="0"/>
    <b v="0"/>
    <b v="0"/>
    <x v="1"/>
  </r>
  <r>
    <s v="台北市"/>
    <x v="7"/>
    <s v="獨立套房"/>
    <x v="19"/>
    <n v="1"/>
    <n v="1"/>
    <x v="1"/>
    <b v="0"/>
    <b v="1"/>
    <b v="0"/>
    <s v="公寓"/>
    <n v="7.8"/>
    <n v="4"/>
    <n v="5"/>
    <b v="1"/>
    <b v="1"/>
    <b v="1"/>
    <b v="1"/>
    <b v="1"/>
    <b v="1"/>
    <b v="1"/>
    <b v="0"/>
    <b v="0"/>
    <b v="1"/>
    <b v="1"/>
    <x v="0"/>
  </r>
  <r>
    <s v="台北市"/>
    <x v="8"/>
    <s v="整層住家"/>
    <x v="20"/>
    <n v="2"/>
    <n v="1"/>
    <x v="0"/>
    <b v="1"/>
    <b v="0"/>
    <b v="0"/>
    <s v="公寓"/>
    <n v="22"/>
    <n v="2"/>
    <n v="4"/>
    <b v="1"/>
    <b v="1"/>
    <b v="1"/>
    <b v="1"/>
    <b v="1"/>
    <b v="1"/>
    <b v="0"/>
    <b v="0"/>
    <b v="0"/>
    <b v="1"/>
    <b v="1"/>
    <x v="1"/>
  </r>
  <r>
    <s v="台北市"/>
    <x v="9"/>
    <s v="分租套房"/>
    <x v="21"/>
    <n v="1"/>
    <n v="1"/>
    <x v="0"/>
    <b v="0"/>
    <b v="0"/>
    <b v="0"/>
    <s v="公寓"/>
    <n v="5.8"/>
    <n v="1"/>
    <n v="5"/>
    <b v="1"/>
    <b v="0"/>
    <b v="1"/>
    <b v="1"/>
    <b v="1"/>
    <b v="1"/>
    <b v="1"/>
    <b v="0"/>
    <b v="0"/>
    <b v="0"/>
    <b v="0"/>
    <x v="1"/>
  </r>
  <r>
    <s v="台北市"/>
    <x v="10"/>
    <s v="雅房"/>
    <x v="22"/>
    <n v="1"/>
    <n v="0"/>
    <x v="0"/>
    <b v="1"/>
    <b v="0"/>
    <b v="1"/>
    <s v="公寓"/>
    <n v="3.8"/>
    <n v="3"/>
    <n v="5"/>
    <b v="0"/>
    <b v="0"/>
    <b v="0"/>
    <b v="1"/>
    <b v="1"/>
    <b v="0"/>
    <b v="1"/>
    <b v="0"/>
    <b v="0"/>
    <b v="0"/>
    <b v="0"/>
    <x v="1"/>
  </r>
  <r>
    <s v="台北市"/>
    <x v="11"/>
    <s v="整層住家"/>
    <x v="23"/>
    <n v="2"/>
    <n v="1"/>
    <x v="0"/>
    <b v="0"/>
    <b v="1"/>
    <b v="0"/>
    <s v="電梯大樓"/>
    <n v="25"/>
    <n v="8"/>
    <n v="12"/>
    <b v="1"/>
    <b v="1"/>
    <b v="1"/>
    <b v="1"/>
    <b v="1"/>
    <b v="1"/>
    <b v="0"/>
    <b v="1"/>
    <b v="1"/>
    <b v="1"/>
    <b v="1"/>
    <x v="0"/>
  </r>
  <r>
    <s v="台北市"/>
    <x v="0"/>
    <s v="獨立套房"/>
    <x v="24"/>
    <n v="1"/>
    <n v="1"/>
    <x v="0"/>
    <b v="1"/>
    <b v="0"/>
    <b v="0"/>
    <s v="電梯大樓"/>
    <n v="11"/>
    <n v="6"/>
    <n v="10"/>
    <b v="1"/>
    <b v="1"/>
    <b v="1"/>
    <b v="1"/>
    <b v="1"/>
    <b v="1"/>
    <b v="1"/>
    <b v="0"/>
    <b v="1"/>
    <b v="1"/>
    <b v="1"/>
    <x v="0"/>
  </r>
  <r>
    <s v="台北市"/>
    <x v="1"/>
    <s v="整層住家"/>
    <x v="25"/>
    <n v="4"/>
    <n v="2"/>
    <x v="0"/>
    <b v="0"/>
    <b v="1"/>
    <b v="0"/>
    <s v="電梯大樓"/>
    <n v="38"/>
    <n v="15"/>
    <n v="20"/>
    <b v="1"/>
    <b v="1"/>
    <b v="1"/>
    <b v="1"/>
    <b v="1"/>
    <b v="1"/>
    <b v="0"/>
    <b v="1"/>
    <b v="1"/>
    <b v="1"/>
    <b v="1"/>
    <x v="2"/>
  </r>
  <r>
    <s v="台北市"/>
    <x v="2"/>
    <s v="分租套房"/>
    <x v="26"/>
    <n v="1"/>
    <n v="1"/>
    <x v="0"/>
    <b v="1"/>
    <b v="0"/>
    <b v="1"/>
    <s v="電梯大樓"/>
    <n v="8.1999999999999993"/>
    <n v="4"/>
    <n v="8"/>
    <b v="1"/>
    <b v="0"/>
    <b v="1"/>
    <b v="1"/>
    <b v="1"/>
    <b v="1"/>
    <b v="1"/>
    <b v="0"/>
    <b v="1"/>
    <b v="0"/>
    <b v="0"/>
    <x v="0"/>
  </r>
  <r>
    <s v="台北市"/>
    <x v="3"/>
    <s v="雅房"/>
    <x v="27"/>
    <n v="1"/>
    <n v="0"/>
    <x v="1"/>
    <b v="0"/>
    <b v="1"/>
    <b v="0"/>
    <s v="公寓"/>
    <n v="4.8"/>
    <n v="2"/>
    <n v="4"/>
    <b v="1"/>
    <b v="0"/>
    <b v="0"/>
    <b v="1"/>
    <b v="1"/>
    <b v="1"/>
    <b v="1"/>
    <b v="0"/>
    <b v="0"/>
    <b v="0"/>
    <b v="0"/>
    <x v="1"/>
  </r>
  <r>
    <s v="台北市"/>
    <x v="4"/>
    <s v="獨立套房"/>
    <x v="28"/>
    <n v="1"/>
    <n v="1"/>
    <x v="0"/>
    <b v="1"/>
    <b v="0"/>
    <b v="0"/>
    <s v="電梯大樓"/>
    <n v="9.5"/>
    <n v="7"/>
    <n v="12"/>
    <b v="1"/>
    <b v="1"/>
    <b v="1"/>
    <b v="1"/>
    <b v="1"/>
    <b v="1"/>
    <b v="1"/>
    <b v="0"/>
    <b v="1"/>
    <b v="1"/>
    <b v="1"/>
    <x v="0"/>
  </r>
  <r>
    <s v="台北市"/>
    <x v="5"/>
    <s v="整層住家"/>
    <x v="29"/>
    <n v="3"/>
    <n v="2"/>
    <x v="1"/>
    <b v="0"/>
    <b v="1"/>
    <b v="0"/>
    <s v="電梯大樓"/>
    <n v="29"/>
    <n v="5"/>
    <n v="10"/>
    <b v="1"/>
    <b v="1"/>
    <b v="1"/>
    <b v="1"/>
    <b v="1"/>
    <b v="1"/>
    <b v="0"/>
    <b v="1"/>
    <b v="1"/>
    <b v="1"/>
    <b v="1"/>
    <x v="0"/>
  </r>
  <r>
    <s v="台北市"/>
    <x v="6"/>
    <s v="分租套房"/>
    <x v="30"/>
    <n v="1"/>
    <n v="1"/>
    <x v="0"/>
    <b v="1"/>
    <b v="0"/>
    <b v="0"/>
    <s v="公寓"/>
    <n v="6.2"/>
    <n v="3"/>
    <n v="5"/>
    <b v="1"/>
    <b v="0"/>
    <b v="1"/>
    <b v="1"/>
    <b v="1"/>
    <b v="1"/>
    <b v="1"/>
    <b v="0"/>
    <b v="0"/>
    <b v="0"/>
    <b v="0"/>
    <x v="1"/>
  </r>
  <r>
    <s v="台北市"/>
    <x v="7"/>
    <s v="雅房"/>
    <x v="31"/>
    <n v="1"/>
    <n v="0"/>
    <x v="1"/>
    <b v="0"/>
    <b v="0"/>
    <b v="1"/>
    <s v="公寓"/>
    <n v="4.0999999999999996"/>
    <n v="1"/>
    <n v="4"/>
    <b v="0"/>
    <b v="0"/>
    <b v="0"/>
    <b v="1"/>
    <b v="1"/>
    <b v="1"/>
    <b v="1"/>
    <b v="0"/>
    <b v="0"/>
    <b v="0"/>
    <b v="0"/>
    <x v="1"/>
  </r>
  <r>
    <s v="台北市"/>
    <x v="8"/>
    <s v="獨立套房"/>
    <x v="13"/>
    <n v="1"/>
    <n v="1"/>
    <x v="0"/>
    <b v="1"/>
    <b v="1"/>
    <b v="0"/>
    <s v="公寓"/>
    <n v="8.8000000000000007"/>
    <n v="2"/>
    <n v="4"/>
    <b v="1"/>
    <b v="1"/>
    <b v="1"/>
    <b v="1"/>
    <b v="1"/>
    <b v="1"/>
    <b v="1"/>
    <b v="0"/>
    <b v="0"/>
    <b v="1"/>
    <b v="1"/>
    <x v="1"/>
  </r>
  <r>
    <s v="台北市"/>
    <x v="9"/>
    <s v="整層住家"/>
    <x v="32"/>
    <n v="1"/>
    <n v="1"/>
    <x v="0"/>
    <b v="0"/>
    <b v="0"/>
    <b v="0"/>
    <s v="公寓"/>
    <n v="15"/>
    <n v="3"/>
    <n v="5"/>
    <b v="1"/>
    <b v="1"/>
    <b v="1"/>
    <b v="1"/>
    <b v="1"/>
    <b v="1"/>
    <b v="0"/>
    <b v="0"/>
    <b v="0"/>
    <b v="1"/>
    <b v="1"/>
    <x v="1"/>
  </r>
  <r>
    <s v="台北市"/>
    <x v="10"/>
    <s v="分租套房"/>
    <x v="33"/>
    <n v="1"/>
    <n v="1"/>
    <x v="0"/>
    <b v="1"/>
    <b v="0"/>
    <b v="0"/>
    <s v="公寓"/>
    <n v="5.6"/>
    <n v="4"/>
    <n v="5"/>
    <b v="1"/>
    <b v="0"/>
    <b v="1"/>
    <b v="1"/>
    <b v="1"/>
    <b v="1"/>
    <b v="1"/>
    <b v="0"/>
    <b v="0"/>
    <b v="0"/>
    <b v="0"/>
    <x v="0"/>
  </r>
  <r>
    <s v="台北市"/>
    <x v="11"/>
    <s v="雅房"/>
    <x v="34"/>
    <n v="1"/>
    <n v="0"/>
    <x v="1"/>
    <b v="0"/>
    <b v="1"/>
    <b v="1"/>
    <s v="公寓"/>
    <n v="4.3"/>
    <n v="2"/>
    <n v="4"/>
    <b v="1"/>
    <b v="0"/>
    <b v="0"/>
    <b v="1"/>
    <b v="1"/>
    <b v="1"/>
    <b v="1"/>
    <b v="0"/>
    <b v="0"/>
    <b v="0"/>
    <b v="0"/>
    <x v="1"/>
  </r>
  <r>
    <s v="台北市"/>
    <x v="0"/>
    <s v="整層住家"/>
    <x v="35"/>
    <n v="4"/>
    <n v="2"/>
    <x v="0"/>
    <b v="0"/>
    <b v="0"/>
    <b v="0"/>
    <s v="電梯大樓"/>
    <n v="40"/>
    <n v="10"/>
    <n v="15"/>
    <b v="1"/>
    <b v="1"/>
    <b v="1"/>
    <b v="1"/>
    <b v="1"/>
    <b v="1"/>
    <b v="0"/>
    <b v="1"/>
    <b v="1"/>
    <b v="1"/>
    <b v="1"/>
    <x v="2"/>
  </r>
  <r>
    <s v="台北市"/>
    <x v="1"/>
    <s v="獨立套房"/>
    <x v="36"/>
    <n v="1"/>
    <n v="1"/>
    <x v="0"/>
    <b v="1"/>
    <b v="1"/>
    <b v="0"/>
    <s v="電梯大樓"/>
    <n v="12"/>
    <n v="8"/>
    <n v="12"/>
    <b v="1"/>
    <b v="1"/>
    <b v="1"/>
    <b v="1"/>
    <b v="1"/>
    <b v="1"/>
    <b v="1"/>
    <b v="0"/>
    <b v="1"/>
    <b v="1"/>
    <b v="1"/>
    <x v="0"/>
  </r>
  <r>
    <s v="台北市"/>
    <x v="2"/>
    <s v="分租套房"/>
    <x v="37"/>
    <n v="1"/>
    <n v="1"/>
    <x v="0"/>
    <b v="0"/>
    <b v="0"/>
    <b v="1"/>
    <s v="電梯大樓"/>
    <n v="7.2"/>
    <n v="6"/>
    <n v="9"/>
    <b v="1"/>
    <b v="0"/>
    <b v="1"/>
    <b v="1"/>
    <b v="1"/>
    <b v="1"/>
    <b v="1"/>
    <b v="0"/>
    <b v="1"/>
    <b v="0"/>
    <b v="0"/>
    <x v="0"/>
  </r>
  <r>
    <s v="台北市"/>
    <x v="3"/>
    <s v="雅房"/>
    <x v="38"/>
    <n v="1"/>
    <n v="0"/>
    <x v="0"/>
    <b v="1"/>
    <b v="0"/>
    <b v="0"/>
    <s v="公寓"/>
    <n v="5.2"/>
    <n v="1"/>
    <n v="4"/>
    <b v="1"/>
    <b v="0"/>
    <b v="0"/>
    <b v="1"/>
    <b v="1"/>
    <b v="1"/>
    <b v="1"/>
    <b v="0"/>
    <b v="0"/>
    <b v="0"/>
    <b v="0"/>
    <x v="1"/>
  </r>
  <r>
    <s v="台北市"/>
    <x v="4"/>
    <s v="整層住家"/>
    <x v="6"/>
    <n v="2"/>
    <n v="1"/>
    <x v="0"/>
    <b v="0"/>
    <b v="1"/>
    <b v="0"/>
    <s v="電梯大樓"/>
    <n v="26"/>
    <n v="9"/>
    <n v="14"/>
    <b v="1"/>
    <b v="1"/>
    <b v="1"/>
    <b v="1"/>
    <b v="1"/>
    <b v="1"/>
    <b v="0"/>
    <b v="1"/>
    <b v="1"/>
    <b v="1"/>
    <b v="1"/>
    <x v="2"/>
  </r>
  <r>
    <s v="台北市"/>
    <x v="5"/>
    <s v="獨立套房"/>
    <x v="39"/>
    <n v="1"/>
    <n v="1"/>
    <x v="1"/>
    <b v="1"/>
    <b v="0"/>
    <b v="0"/>
    <s v="電梯大樓"/>
    <n v="9.1999999999999993"/>
    <n v="4"/>
    <n v="8"/>
    <b v="1"/>
    <b v="1"/>
    <b v="1"/>
    <b v="1"/>
    <b v="1"/>
    <b v="1"/>
    <b v="1"/>
    <b v="0"/>
    <b v="1"/>
    <b v="1"/>
    <b v="1"/>
    <x v="0"/>
  </r>
  <r>
    <s v="台北市"/>
    <x v="6"/>
    <s v="整層住家"/>
    <x v="4"/>
    <n v="3"/>
    <n v="2"/>
    <x v="0"/>
    <b v="0"/>
    <b v="1"/>
    <b v="0"/>
    <s v="透天厝"/>
    <n v="32"/>
    <n v="1"/>
    <n v="3"/>
    <b v="1"/>
    <b v="1"/>
    <b v="1"/>
    <b v="1"/>
    <b v="1"/>
    <b v="1"/>
    <b v="0"/>
    <b v="1"/>
    <b v="0"/>
    <b v="1"/>
    <b v="1"/>
    <x v="1"/>
  </r>
  <r>
    <s v="台北市"/>
    <x v="7"/>
    <s v="分租套房"/>
    <x v="40"/>
    <n v="1"/>
    <n v="1"/>
    <x v="1"/>
    <b v="1"/>
    <b v="0"/>
    <b v="0"/>
    <s v="公寓"/>
    <n v="6.8"/>
    <n v="3"/>
    <n v="5"/>
    <b v="1"/>
    <b v="0"/>
    <b v="1"/>
    <b v="1"/>
    <b v="1"/>
    <b v="1"/>
    <b v="1"/>
    <b v="0"/>
    <b v="0"/>
    <b v="0"/>
    <b v="0"/>
    <x v="1"/>
  </r>
  <r>
    <s v="台北市"/>
    <x v="8"/>
    <s v="雅房"/>
    <x v="41"/>
    <n v="1"/>
    <n v="0"/>
    <x v="0"/>
    <b v="0"/>
    <b v="0"/>
    <b v="1"/>
    <s v="公寓"/>
    <n v="3.9"/>
    <n v="2"/>
    <n v="4"/>
    <b v="0"/>
    <b v="0"/>
    <b v="0"/>
    <b v="1"/>
    <b v="1"/>
    <b v="0"/>
    <b v="1"/>
    <b v="0"/>
    <b v="0"/>
    <b v="0"/>
    <b v="0"/>
    <x v="1"/>
  </r>
  <r>
    <s v="台北市"/>
    <x v="9"/>
    <s v="獨立套房"/>
    <x v="42"/>
    <n v="1"/>
    <n v="1"/>
    <x v="0"/>
    <b v="1"/>
    <b v="1"/>
    <b v="0"/>
    <s v="公寓"/>
    <n v="8.5"/>
    <n v="2"/>
    <n v="5"/>
    <b v="1"/>
    <b v="1"/>
    <b v="1"/>
    <b v="1"/>
    <b v="1"/>
    <b v="1"/>
    <b v="1"/>
    <b v="0"/>
    <b v="0"/>
    <b v="1"/>
    <b v="1"/>
    <x v="1"/>
  </r>
  <r>
    <s v="台北市"/>
    <x v="10"/>
    <s v="整層住家"/>
    <x v="43"/>
    <n v="2"/>
    <n v="1"/>
    <x v="0"/>
    <b v="0"/>
    <b v="0"/>
    <b v="0"/>
    <s v="公寓"/>
    <n v="21"/>
    <n v="4"/>
    <n v="5"/>
    <b v="1"/>
    <b v="1"/>
    <b v="1"/>
    <b v="1"/>
    <b v="1"/>
    <b v="1"/>
    <b v="0"/>
    <b v="0"/>
    <b v="0"/>
    <b v="1"/>
    <b v="1"/>
    <x v="0"/>
  </r>
  <r>
    <s v="台北市"/>
    <x v="11"/>
    <s v="分租套房"/>
    <x v="44"/>
    <n v="1"/>
    <n v="1"/>
    <x v="0"/>
    <b v="1"/>
    <b v="0"/>
    <b v="0"/>
    <s v="電梯大樓"/>
    <n v="7"/>
    <n v="5"/>
    <n v="10"/>
    <b v="1"/>
    <b v="0"/>
    <b v="1"/>
    <b v="1"/>
    <b v="1"/>
    <b v="1"/>
    <b v="1"/>
    <b v="0"/>
    <b v="1"/>
    <b v="0"/>
    <b v="0"/>
    <x v="0"/>
  </r>
  <r>
    <s v="台北市"/>
    <x v="0"/>
    <s v="雅房"/>
    <x v="45"/>
    <n v="1"/>
    <n v="0"/>
    <x v="0"/>
    <b v="0"/>
    <b v="0"/>
    <b v="1"/>
    <s v="公寓"/>
    <n v="5.5"/>
    <n v="3"/>
    <n v="5"/>
    <b v="1"/>
    <b v="0"/>
    <b v="0"/>
    <b v="1"/>
    <b v="1"/>
    <b v="1"/>
    <b v="1"/>
    <b v="0"/>
    <b v="0"/>
    <b v="0"/>
    <b v="0"/>
    <x v="1"/>
  </r>
  <r>
    <s v="台北市"/>
    <x v="1"/>
    <s v="整層住家"/>
    <x v="46"/>
    <n v="4"/>
    <n v="3"/>
    <x v="0"/>
    <b v="0"/>
    <b v="1"/>
    <b v="0"/>
    <s v="電梯大樓"/>
    <n v="45"/>
    <n v="18"/>
    <n v="25"/>
    <b v="1"/>
    <b v="1"/>
    <b v="1"/>
    <b v="1"/>
    <b v="1"/>
    <b v="1"/>
    <b v="0"/>
    <b v="1"/>
    <b v="1"/>
    <b v="1"/>
    <b v="1"/>
    <x v="2"/>
  </r>
  <r>
    <s v="台北市"/>
    <x v="2"/>
    <s v="獨立套房"/>
    <x v="47"/>
    <n v="1"/>
    <n v="1"/>
    <x v="0"/>
    <b v="1"/>
    <b v="0"/>
    <b v="0"/>
    <s v="電梯大樓"/>
    <n v="10.5"/>
    <n v="7"/>
    <n v="11"/>
    <b v="1"/>
    <b v="1"/>
    <b v="1"/>
    <b v="1"/>
    <b v="1"/>
    <b v="1"/>
    <b v="1"/>
    <b v="0"/>
    <b v="1"/>
    <b v="1"/>
    <b v="1"/>
    <x v="0"/>
  </r>
  <r>
    <s v="台北市"/>
    <x v="3"/>
    <s v="分租套房"/>
    <x v="48"/>
    <n v="1"/>
    <n v="1"/>
    <x v="0"/>
    <b v="0"/>
    <b v="1"/>
    <b v="1"/>
    <s v="電梯大樓"/>
    <n v="8"/>
    <n v="4"/>
    <n v="7"/>
    <b v="1"/>
    <b v="0"/>
    <b v="1"/>
    <b v="1"/>
    <b v="1"/>
    <b v="1"/>
    <b v="1"/>
    <b v="0"/>
    <b v="1"/>
    <b v="0"/>
    <b v="0"/>
    <x v="0"/>
  </r>
  <r>
    <s v="台北市"/>
    <x v="4"/>
    <s v="雅房"/>
    <x v="49"/>
    <n v="1"/>
    <n v="0"/>
    <x v="0"/>
    <b v="1"/>
    <b v="0"/>
    <b v="0"/>
    <s v="公寓"/>
    <n v="4.5999999999999996"/>
    <n v="2"/>
    <n v="4"/>
    <b v="1"/>
    <b v="0"/>
    <b v="0"/>
    <b v="1"/>
    <b v="1"/>
    <b v="1"/>
    <b v="1"/>
    <b v="0"/>
    <b v="0"/>
    <b v="0"/>
    <b v="0"/>
    <x v="1"/>
  </r>
  <r>
    <s v="台北市"/>
    <x v="5"/>
    <s v="整層住家"/>
    <x v="50"/>
    <n v="3"/>
    <n v="2"/>
    <x v="1"/>
    <b v="0"/>
    <b v="1"/>
    <b v="0"/>
    <s v="電梯大樓"/>
    <n v="31"/>
    <n v="6"/>
    <n v="12"/>
    <b v="1"/>
    <b v="1"/>
    <b v="1"/>
    <b v="1"/>
    <b v="1"/>
    <b v="1"/>
    <b v="0"/>
    <b v="1"/>
    <b v="1"/>
    <b v="1"/>
    <b v="1"/>
    <x v="0"/>
  </r>
  <r>
    <s v="台北市"/>
    <x v="6"/>
    <s v="獨立套房"/>
    <x v="51"/>
    <n v="1"/>
    <n v="1"/>
    <x v="0"/>
    <b v="1"/>
    <b v="0"/>
    <b v="0"/>
    <s v="公寓"/>
    <n v="9.8000000000000007"/>
    <n v="3"/>
    <n v="5"/>
    <b v="1"/>
    <b v="1"/>
    <b v="1"/>
    <b v="1"/>
    <b v="1"/>
    <b v="1"/>
    <b v="1"/>
    <b v="0"/>
    <b v="0"/>
    <b v="1"/>
    <b v="1"/>
    <x v="1"/>
  </r>
  <r>
    <s v="台北市"/>
    <x v="7"/>
    <s v="分租套房"/>
    <x v="52"/>
    <n v="1"/>
    <n v="1"/>
    <x v="1"/>
    <b v="0"/>
    <b v="0"/>
    <b v="0"/>
    <s v="公寓"/>
    <n v="6.3"/>
    <n v="4"/>
    <n v="5"/>
    <b v="1"/>
    <b v="0"/>
    <b v="1"/>
    <b v="1"/>
    <b v="1"/>
    <b v="1"/>
    <b v="1"/>
    <b v="0"/>
    <b v="0"/>
    <b v="0"/>
    <b v="0"/>
    <x v="0"/>
  </r>
  <r>
    <s v="台北市"/>
    <x v="8"/>
    <s v="雅房"/>
    <x v="53"/>
    <n v="1"/>
    <n v="0"/>
    <x v="0"/>
    <b v="1"/>
    <b v="1"/>
    <b v="1"/>
    <s v="公寓"/>
    <n v="3.7"/>
    <n v="1"/>
    <n v="4"/>
    <b v="0"/>
    <b v="0"/>
    <b v="0"/>
    <b v="1"/>
    <b v="1"/>
    <b v="0"/>
    <b v="1"/>
    <b v="0"/>
    <b v="0"/>
    <b v="0"/>
    <b v="0"/>
    <x v="1"/>
  </r>
  <r>
    <s v="台北市"/>
    <x v="9"/>
    <s v="整層住家"/>
    <x v="54"/>
    <n v="1"/>
    <n v="1"/>
    <x v="0"/>
    <b v="0"/>
    <b v="0"/>
    <b v="0"/>
    <s v="公寓"/>
    <n v="16"/>
    <n v="2"/>
    <n v="5"/>
    <b v="1"/>
    <b v="1"/>
    <b v="1"/>
    <b v="1"/>
    <b v="1"/>
    <b v="1"/>
    <b v="0"/>
    <b v="0"/>
    <b v="0"/>
    <b v="1"/>
    <b v="1"/>
    <x v="1"/>
  </r>
  <r>
    <s v="台北市"/>
    <x v="10"/>
    <s v="獨立套房"/>
    <x v="55"/>
    <n v="1"/>
    <n v="1"/>
    <x v="0"/>
    <b v="1"/>
    <b v="0"/>
    <b v="0"/>
    <s v="電梯大樓"/>
    <n v="9"/>
    <n v="5"/>
    <n v="8"/>
    <b v="1"/>
    <b v="1"/>
    <b v="1"/>
    <b v="1"/>
    <b v="1"/>
    <b v="1"/>
    <b v="1"/>
    <b v="0"/>
    <b v="1"/>
    <b v="1"/>
    <b v="1"/>
    <x v="0"/>
  </r>
  <r>
    <s v="台北市"/>
    <x v="11"/>
    <s v="分租套房"/>
    <x v="56"/>
    <n v="1"/>
    <n v="1"/>
    <x v="0"/>
    <b v="0"/>
    <b v="0"/>
    <b v="1"/>
    <s v="公寓"/>
    <n v="6.5"/>
    <n v="3"/>
    <n v="5"/>
    <b v="1"/>
    <b v="0"/>
    <b v="1"/>
    <b v="1"/>
    <b v="1"/>
    <b v="1"/>
    <b v="1"/>
    <b v="0"/>
    <b v="0"/>
    <b v="0"/>
    <b v="0"/>
    <x v="1"/>
  </r>
  <r>
    <s v="台北市"/>
    <x v="0"/>
    <s v="雅房"/>
    <x v="57"/>
    <n v="1"/>
    <n v="0"/>
    <x v="0"/>
    <b v="1"/>
    <b v="0"/>
    <b v="0"/>
    <s v="公寓"/>
    <n v="5.8"/>
    <n v="4"/>
    <n v="5"/>
    <b v="1"/>
    <b v="0"/>
    <b v="0"/>
    <b v="1"/>
    <b v="1"/>
    <b v="1"/>
    <b v="1"/>
    <b v="0"/>
    <b v="0"/>
    <b v="0"/>
    <b v="0"/>
    <x v="0"/>
  </r>
  <r>
    <s v="台北市"/>
    <x v="1"/>
    <s v="整層住家"/>
    <x v="58"/>
    <n v="5"/>
    <n v="3"/>
    <x v="0"/>
    <b v="0"/>
    <b v="1"/>
    <b v="0"/>
    <s v="電梯大樓"/>
    <n v="50"/>
    <n v="20"/>
    <n v="25"/>
    <b v="1"/>
    <b v="1"/>
    <b v="1"/>
    <b v="1"/>
    <b v="1"/>
    <b v="1"/>
    <b v="0"/>
    <b v="1"/>
    <b v="1"/>
    <b v="1"/>
    <b v="1"/>
    <x v="2"/>
  </r>
  <r>
    <s v="台北市"/>
    <x v="2"/>
    <s v="獨立套房"/>
    <x v="59"/>
    <n v="1"/>
    <n v="1"/>
    <x v="0"/>
    <b v="1"/>
    <b v="1"/>
    <b v="0"/>
    <s v="電梯大樓"/>
    <n v="11.5"/>
    <n v="9"/>
    <n v="13"/>
    <b v="1"/>
    <b v="1"/>
    <b v="1"/>
    <b v="1"/>
    <b v="1"/>
    <b v="1"/>
    <b v="1"/>
    <b v="0"/>
    <b v="1"/>
    <b v="1"/>
    <b v="1"/>
    <x v="2"/>
  </r>
  <r>
    <s v="台北市"/>
    <x v="3"/>
    <s v="分租套房"/>
    <x v="42"/>
    <n v="1"/>
    <n v="1"/>
    <x v="0"/>
    <b v="0"/>
    <b v="0"/>
    <b v="1"/>
    <s v="電梯大樓"/>
    <n v="8.5"/>
    <n v="5"/>
    <n v="8"/>
    <b v="1"/>
    <b v="0"/>
    <b v="1"/>
    <b v="1"/>
    <b v="1"/>
    <b v="1"/>
    <b v="1"/>
    <b v="0"/>
    <b v="1"/>
    <b v="0"/>
    <b v="0"/>
    <x v="0"/>
  </r>
  <r>
    <s v="台北市"/>
    <x v="4"/>
    <s v="雅房"/>
    <x v="60"/>
    <n v="1"/>
    <n v="0"/>
    <x v="0"/>
    <b v="1"/>
    <b v="0"/>
    <b v="0"/>
    <s v="公寓"/>
    <n v="4.9000000000000004"/>
    <n v="2"/>
    <n v="4"/>
    <b v="1"/>
    <b v="0"/>
    <b v="0"/>
    <b v="1"/>
    <b v="1"/>
    <b v="1"/>
    <b v="1"/>
    <b v="0"/>
    <b v="0"/>
    <b v="0"/>
    <b v="0"/>
    <x v="1"/>
  </r>
  <r>
    <s v="台北市"/>
    <x v="5"/>
    <s v="整層住家"/>
    <x v="61"/>
    <n v="4"/>
    <n v="2"/>
    <x v="1"/>
    <b v="0"/>
    <b v="1"/>
    <b v="0"/>
    <s v="電梯大樓"/>
    <n v="35"/>
    <n v="7"/>
    <n v="12"/>
    <b v="1"/>
    <b v="1"/>
    <b v="1"/>
    <b v="1"/>
    <b v="1"/>
    <b v="1"/>
    <b v="0"/>
    <b v="1"/>
    <b v="1"/>
    <b v="1"/>
    <b v="1"/>
    <x v="0"/>
  </r>
  <r>
    <s v="台北市"/>
    <x v="6"/>
    <s v="獨立套房"/>
    <x v="28"/>
    <n v="1"/>
    <n v="1"/>
    <x v="0"/>
    <b v="1"/>
    <b v="0"/>
    <b v="0"/>
    <s v="公寓"/>
    <n v="10.199999999999999"/>
    <n v="4"/>
    <n v="5"/>
    <b v="1"/>
    <b v="1"/>
    <b v="1"/>
    <b v="1"/>
    <b v="1"/>
    <b v="1"/>
    <b v="1"/>
    <b v="0"/>
    <b v="0"/>
    <b v="1"/>
    <b v="1"/>
    <x v="0"/>
  </r>
  <r>
    <s v="台北市"/>
    <x v="7"/>
    <s v="分租套房"/>
    <x v="62"/>
    <n v="1"/>
    <n v="1"/>
    <x v="1"/>
    <b v="0"/>
    <b v="1"/>
    <b v="0"/>
    <s v="公寓"/>
    <n v="6"/>
    <n v="3"/>
    <n v="5"/>
    <b v="1"/>
    <b v="0"/>
    <b v="1"/>
    <b v="1"/>
    <b v="1"/>
    <b v="1"/>
    <b v="1"/>
    <b v="0"/>
    <b v="0"/>
    <b v="0"/>
    <b v="0"/>
    <x v="1"/>
  </r>
  <r>
    <s v="台北市"/>
    <x v="8"/>
    <s v="雅房"/>
    <x v="63"/>
    <n v="1"/>
    <n v="0"/>
    <x v="0"/>
    <b v="1"/>
    <b v="0"/>
    <b v="1"/>
    <s v="公寓"/>
    <n v="3.5"/>
    <n v="1"/>
    <n v="4"/>
    <b v="0"/>
    <b v="0"/>
    <b v="0"/>
    <b v="1"/>
    <b v="1"/>
    <b v="0"/>
    <b v="1"/>
    <b v="0"/>
    <b v="0"/>
    <b v="0"/>
    <b v="0"/>
    <x v="1"/>
  </r>
  <r>
    <s v="台北市"/>
    <x v="9"/>
    <s v="整層住家"/>
    <x v="64"/>
    <n v="2"/>
    <n v="1"/>
    <x v="0"/>
    <b v="0"/>
    <b v="0"/>
    <b v="0"/>
    <s v="公寓"/>
    <n v="18"/>
    <n v="3"/>
    <n v="5"/>
    <b v="1"/>
    <b v="1"/>
    <b v="1"/>
    <b v="1"/>
    <b v="1"/>
    <b v="1"/>
    <b v="0"/>
    <b v="0"/>
    <b v="0"/>
    <b v="1"/>
    <b v="1"/>
    <x v="1"/>
  </r>
  <r>
    <s v="台北市"/>
    <x v="10"/>
    <s v="獨立套房"/>
    <x v="65"/>
    <n v="1"/>
    <n v="1"/>
    <x v="0"/>
    <b v="1"/>
    <b v="1"/>
    <b v="0"/>
    <s v="電梯大樓"/>
    <n v="10.8"/>
    <n v="6"/>
    <n v="10"/>
    <b v="1"/>
    <b v="1"/>
    <b v="1"/>
    <b v="1"/>
    <b v="1"/>
    <b v="1"/>
    <b v="1"/>
    <b v="0"/>
    <b v="1"/>
    <b v="1"/>
    <b v="1"/>
    <x v="0"/>
  </r>
  <r>
    <s v="台北市"/>
    <x v="11"/>
    <s v="分租套房"/>
    <x v="66"/>
    <n v="1"/>
    <n v="1"/>
    <x v="0"/>
    <b v="0"/>
    <b v="0"/>
    <b v="1"/>
    <s v="公寓"/>
    <n v="6.7"/>
    <n v="4"/>
    <n v="5"/>
    <b v="1"/>
    <b v="0"/>
    <b v="1"/>
    <b v="1"/>
    <b v="1"/>
    <b v="1"/>
    <b v="1"/>
    <b v="0"/>
    <b v="0"/>
    <b v="0"/>
    <b v="0"/>
    <x v="0"/>
  </r>
  <r>
    <s v="台北市"/>
    <x v="0"/>
    <s v="雅房"/>
    <x v="67"/>
    <n v="1"/>
    <n v="0"/>
    <x v="0"/>
    <b v="1"/>
    <b v="0"/>
    <b v="0"/>
    <s v="公寓"/>
    <n v="5.3"/>
    <n v="3"/>
    <n v="5"/>
    <b v="1"/>
    <b v="0"/>
    <b v="0"/>
    <b v="1"/>
    <b v="1"/>
    <b v="1"/>
    <b v="1"/>
    <b v="0"/>
    <b v="0"/>
    <b v="0"/>
    <b v="0"/>
    <x v="1"/>
  </r>
  <r>
    <s v="台北市"/>
    <x v="1"/>
    <s v="整層住家"/>
    <x v="68"/>
    <n v="5"/>
    <n v="3"/>
    <x v="0"/>
    <b v="0"/>
    <b v="1"/>
    <b v="0"/>
    <s v="電梯大樓"/>
    <n v="55"/>
    <n v="22"/>
    <n v="28"/>
    <b v="1"/>
    <b v="1"/>
    <b v="1"/>
    <b v="1"/>
    <b v="1"/>
    <b v="1"/>
    <b v="0"/>
    <b v="1"/>
    <b v="1"/>
    <b v="1"/>
    <b v="1"/>
    <x v="2"/>
  </r>
  <r>
    <s v="台北市"/>
    <x v="2"/>
    <s v="獨立套房"/>
    <x v="69"/>
    <n v="1"/>
    <n v="1"/>
    <x v="0"/>
    <b v="1"/>
    <b v="0"/>
    <b v="0"/>
    <s v="電梯大樓"/>
    <n v="12.5"/>
    <n v="10"/>
    <n v="15"/>
    <b v="1"/>
    <b v="1"/>
    <b v="1"/>
    <b v="1"/>
    <b v="1"/>
    <b v="1"/>
    <b v="1"/>
    <b v="0"/>
    <b v="1"/>
    <b v="1"/>
    <b v="1"/>
    <x v="2"/>
  </r>
  <r>
    <s v="台北市"/>
    <x v="3"/>
    <s v="分租套房"/>
    <x v="70"/>
    <n v="1"/>
    <n v="1"/>
    <x v="0"/>
    <b v="0"/>
    <b v="1"/>
    <b v="1"/>
    <s v="電梯大樓"/>
    <n v="9"/>
    <n v="6"/>
    <n v="9"/>
    <b v="1"/>
    <b v="0"/>
    <b v="1"/>
    <b v="1"/>
    <b v="1"/>
    <b v="1"/>
    <b v="1"/>
    <b v="0"/>
    <b v="1"/>
    <b v="0"/>
    <b v="0"/>
    <x v="0"/>
  </r>
  <r>
    <s v="台北市"/>
    <x v="4"/>
    <s v="雅房"/>
    <x v="71"/>
    <n v="1"/>
    <n v="0"/>
    <x v="0"/>
    <b v="1"/>
    <b v="0"/>
    <b v="0"/>
    <s v="公寓"/>
    <n v="5"/>
    <n v="2"/>
    <n v="4"/>
    <b v="1"/>
    <b v="0"/>
    <b v="0"/>
    <b v="1"/>
    <b v="1"/>
    <b v="1"/>
    <b v="1"/>
    <b v="0"/>
    <b v="0"/>
    <b v="0"/>
    <b v="0"/>
    <x v="1"/>
  </r>
  <r>
    <s v="台北市"/>
    <x v="5"/>
    <s v="整層住家"/>
    <x v="72"/>
    <n v="4"/>
    <n v="2"/>
    <x v="1"/>
    <b v="0"/>
    <b v="1"/>
    <b v="0"/>
    <s v="電梯大樓"/>
    <n v="38"/>
    <n v="8"/>
    <n v="14"/>
    <b v="1"/>
    <b v="1"/>
    <b v="1"/>
    <b v="1"/>
    <b v="1"/>
    <b v="1"/>
    <b v="0"/>
    <b v="1"/>
    <b v="1"/>
    <b v="1"/>
    <b v="1"/>
    <x v="0"/>
  </r>
  <r>
    <s v="台北市"/>
    <x v="6"/>
    <s v="獨立套房"/>
    <x v="73"/>
    <n v="1"/>
    <n v="1"/>
    <x v="0"/>
    <b v="1"/>
    <b v="0"/>
    <b v="0"/>
    <s v="公寓"/>
    <n v="11.2"/>
    <n v="5"/>
    <n v="5"/>
    <b v="1"/>
    <b v="1"/>
    <b v="1"/>
    <b v="1"/>
    <b v="1"/>
    <b v="1"/>
    <b v="1"/>
    <b v="0"/>
    <b v="0"/>
    <b v="1"/>
    <b v="1"/>
    <x v="0"/>
  </r>
  <r>
    <s v="台北市"/>
    <x v="7"/>
    <s v="分租套房"/>
    <x v="74"/>
    <n v="1"/>
    <n v="1"/>
    <x v="1"/>
    <b v="0"/>
    <b v="0"/>
    <b v="0"/>
    <s v="公寓"/>
    <n v="6.2"/>
    <n v="4"/>
    <n v="5"/>
    <b v="1"/>
    <b v="0"/>
    <b v="1"/>
    <b v="1"/>
    <b v="1"/>
    <b v="1"/>
    <b v="1"/>
    <b v="0"/>
    <b v="0"/>
    <b v="0"/>
    <b v="0"/>
    <x v="0"/>
  </r>
  <r>
    <s v="台北市"/>
    <x v="8"/>
    <s v="雅房"/>
    <x v="75"/>
    <n v="1"/>
    <n v="0"/>
    <x v="0"/>
    <b v="1"/>
    <b v="1"/>
    <b v="1"/>
    <s v="公寓"/>
    <n v="3.3"/>
    <n v="1"/>
    <n v="4"/>
    <b v="0"/>
    <b v="0"/>
    <b v="0"/>
    <b v="1"/>
    <b v="1"/>
    <b v="0"/>
    <b v="1"/>
    <b v="0"/>
    <b v="0"/>
    <b v="0"/>
    <b v="0"/>
    <x v="1"/>
  </r>
  <r>
    <s v="台北市"/>
    <x v="9"/>
    <s v="整層住家"/>
    <x v="76"/>
    <n v="2"/>
    <n v="1"/>
    <x v="0"/>
    <b v="0"/>
    <b v="0"/>
    <b v="0"/>
    <s v="公寓"/>
    <n v="19"/>
    <n v="3"/>
    <n v="5"/>
    <b v="1"/>
    <b v="1"/>
    <b v="1"/>
    <b v="1"/>
    <b v="1"/>
    <b v="1"/>
    <b v="0"/>
    <b v="0"/>
    <b v="0"/>
    <b v="1"/>
    <b v="1"/>
    <x v="1"/>
  </r>
  <r>
    <s v="台北市"/>
    <x v="10"/>
    <s v="獨立套房"/>
    <x v="77"/>
    <n v="1"/>
    <n v="1"/>
    <x v="0"/>
    <b v="1"/>
    <b v="0"/>
    <b v="0"/>
    <s v="電梯大樓"/>
    <n v="10"/>
    <n v="7"/>
    <n v="12"/>
    <b v="1"/>
    <b v="1"/>
    <b v="1"/>
    <b v="1"/>
    <b v="1"/>
    <b v="1"/>
    <b v="1"/>
    <b v="0"/>
    <b v="1"/>
    <b v="1"/>
    <b v="1"/>
    <x v="0"/>
  </r>
  <r>
    <s v="台北市"/>
    <x v="11"/>
    <s v="分租套房"/>
    <x v="9"/>
    <n v="1"/>
    <n v="1"/>
    <x v="0"/>
    <b v="0"/>
    <b v="0"/>
    <b v="1"/>
    <s v="公寓"/>
    <n v="7.3"/>
    <n v="3"/>
    <n v="5"/>
    <b v="1"/>
    <b v="0"/>
    <b v="1"/>
    <b v="1"/>
    <b v="1"/>
    <b v="1"/>
    <b v="1"/>
    <b v="0"/>
    <b v="0"/>
    <b v="0"/>
    <b v="0"/>
    <x v="1"/>
  </r>
  <r>
    <s v="台北市"/>
    <x v="0"/>
    <s v="雅房"/>
    <x v="78"/>
    <n v="1"/>
    <n v="0"/>
    <x v="0"/>
    <b v="1"/>
    <b v="0"/>
    <b v="0"/>
    <s v="公寓"/>
    <n v="5.6"/>
    <n v="4"/>
    <n v="5"/>
    <b v="1"/>
    <b v="0"/>
    <b v="0"/>
    <b v="1"/>
    <b v="1"/>
    <b v="1"/>
    <b v="1"/>
    <b v="0"/>
    <b v="0"/>
    <b v="0"/>
    <b v="0"/>
    <x v="0"/>
  </r>
  <r>
    <s v="台北市"/>
    <x v="1"/>
    <s v="整層住家"/>
    <x v="79"/>
    <n v="5"/>
    <n v="3"/>
    <x v="0"/>
    <b v="0"/>
    <b v="1"/>
    <b v="0"/>
    <s v="電梯大樓"/>
    <n v="60"/>
    <n v="25"/>
    <n v="30"/>
    <b v="1"/>
    <b v="1"/>
    <b v="1"/>
    <b v="1"/>
    <b v="1"/>
    <b v="1"/>
    <b v="0"/>
    <b v="1"/>
    <b v="1"/>
    <b v="1"/>
    <b v="1"/>
    <x v="2"/>
  </r>
  <r>
    <s v="台北市"/>
    <x v="2"/>
    <s v="獨立套房"/>
    <x v="80"/>
    <n v="1"/>
    <n v="1"/>
    <x v="0"/>
    <b v="1"/>
    <b v="1"/>
    <b v="0"/>
    <s v="電梯大樓"/>
    <n v="13"/>
    <n v="11"/>
    <n v="16"/>
    <b v="1"/>
    <b v="1"/>
    <b v="1"/>
    <b v="1"/>
    <b v="1"/>
    <b v="1"/>
    <b v="1"/>
    <b v="0"/>
    <b v="1"/>
    <b v="1"/>
    <b v="1"/>
    <x v="2"/>
  </r>
  <r>
    <s v="台北市"/>
    <x v="3"/>
    <s v="分租套房"/>
    <x v="81"/>
    <n v="1"/>
    <n v="1"/>
    <x v="0"/>
    <b v="0"/>
    <b v="0"/>
    <b v="1"/>
    <s v="電梯大樓"/>
    <n v="9.5"/>
    <n v="7"/>
    <n v="10"/>
    <b v="1"/>
    <b v="0"/>
    <b v="1"/>
    <b v="1"/>
    <b v="1"/>
    <b v="1"/>
    <b v="1"/>
    <b v="0"/>
    <b v="1"/>
    <b v="0"/>
    <b v="0"/>
    <x v="0"/>
  </r>
  <r>
    <s v="台北市"/>
    <x v="4"/>
    <s v="雅房"/>
    <x v="82"/>
    <n v="1"/>
    <n v="0"/>
    <x v="0"/>
    <b v="1"/>
    <b v="0"/>
    <b v="0"/>
    <s v="公寓"/>
    <n v="5.0999999999999996"/>
    <n v="2"/>
    <n v="4"/>
    <b v="1"/>
    <b v="0"/>
    <b v="0"/>
    <b v="1"/>
    <b v="1"/>
    <b v="1"/>
    <b v="1"/>
    <b v="0"/>
    <b v="0"/>
    <b v="0"/>
    <b v="0"/>
    <x v="1"/>
  </r>
  <r>
    <s v="台北市"/>
    <x v="5"/>
    <s v="整層住家"/>
    <x v="35"/>
    <n v="4"/>
    <n v="2"/>
    <x v="1"/>
    <b v="0"/>
    <b v="1"/>
    <b v="0"/>
    <s v="電梯大樓"/>
    <n v="42"/>
    <n v="9"/>
    <n v="15"/>
    <b v="1"/>
    <b v="1"/>
    <b v="1"/>
    <b v="1"/>
    <b v="1"/>
    <b v="1"/>
    <b v="0"/>
    <b v="1"/>
    <b v="1"/>
    <b v="1"/>
    <b v="1"/>
    <x v="2"/>
  </r>
  <r>
    <s v="台北市"/>
    <x v="6"/>
    <s v="獨立套房"/>
    <x v="83"/>
    <n v="1"/>
    <n v="1"/>
    <x v="0"/>
    <b v="1"/>
    <b v="0"/>
    <b v="0"/>
    <s v="公寓"/>
    <n v="12"/>
    <n v="4"/>
    <n v="5"/>
    <b v="1"/>
    <b v="1"/>
    <b v="1"/>
    <b v="1"/>
    <b v="1"/>
    <b v="1"/>
    <b v="1"/>
    <b v="0"/>
    <b v="0"/>
    <b v="1"/>
    <b v="1"/>
    <x v="0"/>
  </r>
  <r>
    <s v="台北市"/>
    <x v="7"/>
    <s v="分租套房"/>
    <x v="84"/>
    <n v="1"/>
    <n v="1"/>
    <x v="1"/>
    <b v="0"/>
    <b v="1"/>
    <b v="0"/>
    <s v="公寓"/>
    <n v="6.4"/>
    <n v="3"/>
    <n v="5"/>
    <b v="1"/>
    <b v="0"/>
    <b v="1"/>
    <b v="1"/>
    <b v="1"/>
    <b v="1"/>
    <b v="1"/>
    <b v="0"/>
    <b v="0"/>
    <b v="0"/>
    <b v="0"/>
    <x v="1"/>
  </r>
  <r>
    <s v="台北市"/>
    <x v="8"/>
    <s v="雅房"/>
    <x v="85"/>
    <n v="1"/>
    <n v="0"/>
    <x v="0"/>
    <b v="1"/>
    <b v="0"/>
    <b v="1"/>
    <s v="公寓"/>
    <n v="3.2"/>
    <n v="1"/>
    <n v="4"/>
    <b v="0"/>
    <b v="0"/>
    <b v="0"/>
    <b v="1"/>
    <b v="1"/>
    <b v="0"/>
    <b v="1"/>
    <b v="0"/>
    <b v="0"/>
    <b v="0"/>
    <b v="0"/>
    <x v="1"/>
  </r>
  <r>
    <s v="台北市"/>
    <x v="9"/>
    <s v="整層住家"/>
    <x v="86"/>
    <n v="3"/>
    <n v="2"/>
    <x v="0"/>
    <b v="0"/>
    <b v="0"/>
    <b v="0"/>
    <s v="公寓"/>
    <n v="23"/>
    <n v="2"/>
    <n v="5"/>
    <b v="1"/>
    <b v="1"/>
    <b v="1"/>
    <b v="1"/>
    <b v="1"/>
    <b v="1"/>
    <b v="0"/>
    <b v="0"/>
    <b v="0"/>
    <b v="1"/>
    <b v="1"/>
    <x v="1"/>
  </r>
  <r>
    <s v="台北市"/>
    <x v="10"/>
    <s v="獨立套房"/>
    <x v="73"/>
    <n v="1"/>
    <n v="1"/>
    <x v="0"/>
    <b v="1"/>
    <b v="1"/>
    <b v="0"/>
    <s v="電梯大樓"/>
    <n v="11.8"/>
    <n v="8"/>
    <n v="12"/>
    <b v="1"/>
    <b v="1"/>
    <b v="1"/>
    <b v="1"/>
    <b v="1"/>
    <b v="1"/>
    <b v="1"/>
    <b v="0"/>
    <b v="1"/>
    <b v="1"/>
    <b v="1"/>
    <x v="0"/>
  </r>
  <r>
    <s v="台北市"/>
    <x v="11"/>
    <s v="分租套房"/>
    <x v="87"/>
    <n v="1"/>
    <n v="1"/>
    <x v="0"/>
    <b v="0"/>
    <b v="0"/>
    <b v="1"/>
    <s v="公寓"/>
    <n v="7.1"/>
    <n v="4"/>
    <n v="5"/>
    <b v="1"/>
    <b v="0"/>
    <b v="1"/>
    <b v="1"/>
    <b v="1"/>
    <b v="1"/>
    <b v="1"/>
    <b v="0"/>
    <b v="0"/>
    <b v="0"/>
    <b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台北市"/>
    <x v="0"/>
    <s v="獨立套房"/>
    <n v="12000"/>
    <n v="1"/>
    <n v="1"/>
    <b v="1"/>
    <b v="1"/>
    <b v="0"/>
    <b v="0"/>
    <s v="電梯大樓"/>
    <n v="8.5"/>
    <n v="5"/>
    <n v="12"/>
    <b v="1"/>
    <b v="1"/>
    <b v="1"/>
    <b v="1"/>
    <b v="1"/>
    <b v="1"/>
    <b v="1"/>
    <b v="0"/>
    <b v="1"/>
    <b v="1"/>
    <b v="1"/>
    <s v="4-8層"/>
    <x v="0"/>
  </r>
  <r>
    <s v="台北市"/>
    <x v="1"/>
    <s v="整層住家"/>
    <n v="35000"/>
    <n v="3"/>
    <n v="2"/>
    <b v="1"/>
    <b v="0"/>
    <b v="1"/>
    <b v="0"/>
    <s v="公寓"/>
    <n v="28"/>
    <n v="3"/>
    <n v="5"/>
    <b v="1"/>
    <b v="1"/>
    <b v="1"/>
    <b v="1"/>
    <b v="1"/>
    <b v="1"/>
    <b v="0"/>
    <b v="0"/>
    <b v="0"/>
    <b v="1"/>
    <b v="1"/>
    <s v="1-3層"/>
    <x v="0"/>
  </r>
  <r>
    <s v="台北市"/>
    <x v="2"/>
    <s v="分租套房"/>
    <n v="8000"/>
    <n v="1"/>
    <n v="1"/>
    <b v="1"/>
    <b v="0"/>
    <b v="0"/>
    <b v="1"/>
    <s v="電梯大樓"/>
    <n v="6"/>
    <n v="7"/>
    <n v="10"/>
    <b v="1"/>
    <b v="0"/>
    <b v="1"/>
    <b v="1"/>
    <b v="0"/>
    <b v="1"/>
    <b v="1"/>
    <b v="0"/>
    <b v="1"/>
    <b v="0"/>
    <b v="0"/>
    <s v="4-8層"/>
    <x v="0"/>
  </r>
  <r>
    <s v="台北市"/>
    <x v="3"/>
    <s v="雅房"/>
    <n v="5500"/>
    <n v="1"/>
    <n v="0"/>
    <b v="0"/>
    <b v="1"/>
    <b v="0"/>
    <b v="0"/>
    <s v="公寓"/>
    <n v="4.5"/>
    <n v="2"/>
    <n v="4"/>
    <b v="1"/>
    <b v="0"/>
    <b v="0"/>
    <b v="1"/>
    <b v="1"/>
    <b v="1"/>
    <b v="1"/>
    <b v="0"/>
    <b v="0"/>
    <b v="0"/>
    <b v="0"/>
    <s v="1-3層"/>
    <x v="0"/>
  </r>
  <r>
    <s v="台北市"/>
    <x v="4"/>
    <s v="整層住家"/>
    <n v="28000"/>
    <n v="2"/>
    <n v="1"/>
    <b v="1"/>
    <b v="0"/>
    <b v="1"/>
    <b v="0"/>
    <s v="電梯大樓"/>
    <n v="18"/>
    <n v="8"/>
    <n v="15"/>
    <b v="1"/>
    <b v="1"/>
    <b v="1"/>
    <b v="1"/>
    <b v="1"/>
    <b v="1"/>
    <b v="0"/>
    <b v="1"/>
    <b v="1"/>
    <b v="1"/>
    <b v="1"/>
    <s v="4-8層"/>
    <x v="1"/>
  </r>
  <r>
    <s v="台北市"/>
    <x v="5"/>
    <s v="獨立套房"/>
    <n v="15000"/>
    <n v="1"/>
    <n v="1"/>
    <b v="0"/>
    <b v="1"/>
    <b v="1"/>
    <b v="0"/>
    <s v="電梯大樓"/>
    <n v="10"/>
    <n v="6"/>
    <n v="12"/>
    <b v="1"/>
    <b v="1"/>
    <b v="1"/>
    <b v="1"/>
    <b v="1"/>
    <b v="1"/>
    <b v="1"/>
    <b v="1"/>
    <b v="1"/>
    <b v="1"/>
    <b v="1"/>
    <s v="4-8層"/>
    <x v="1"/>
  </r>
  <r>
    <s v="台北市"/>
    <x v="6"/>
    <s v="整層住家"/>
    <n v="32000"/>
    <n v="4"/>
    <n v="2"/>
    <b v="0"/>
    <b v="0"/>
    <b v="0"/>
    <b v="0"/>
    <s v="透天厝"/>
    <n v="35"/>
    <n v="1"/>
    <n v="3"/>
    <b v="1"/>
    <b v="1"/>
    <b v="1"/>
    <b v="1"/>
    <b v="1"/>
    <b v="1"/>
    <b v="0"/>
    <b v="1"/>
    <b v="0"/>
    <b v="1"/>
    <b v="1"/>
    <s v="1-3層"/>
    <x v="0"/>
  </r>
  <r>
    <s v="台北市"/>
    <x v="7"/>
    <s v="分租套房"/>
    <n v="7500"/>
    <n v="1"/>
    <n v="1"/>
    <b v="0"/>
    <b v="1"/>
    <b v="0"/>
    <b v="0"/>
    <s v="公寓"/>
    <n v="5.5"/>
    <n v="4"/>
    <n v="5"/>
    <b v="1"/>
    <b v="0"/>
    <b v="1"/>
    <b v="1"/>
    <b v="1"/>
    <b v="1"/>
    <b v="1"/>
    <b v="0"/>
    <b v="0"/>
    <b v="0"/>
    <b v="0"/>
    <s v="4-8層"/>
    <x v="0"/>
  </r>
  <r>
    <s v="台北市"/>
    <x v="8"/>
    <s v="雅房"/>
    <n v="5000"/>
    <n v="1"/>
    <n v="0"/>
    <b v="1"/>
    <b v="0"/>
    <b v="1"/>
    <b v="1"/>
    <s v="公寓"/>
    <n v="4"/>
    <n v="3"/>
    <n v="4"/>
    <b v="0"/>
    <b v="0"/>
    <b v="0"/>
    <b v="1"/>
    <b v="1"/>
    <b v="0"/>
    <b v="1"/>
    <b v="0"/>
    <b v="0"/>
    <b v="0"/>
    <b v="0"/>
    <s v="1-3層"/>
    <x v="0"/>
  </r>
  <r>
    <s v="台北市"/>
    <x v="9"/>
    <s v="獨立套房"/>
    <n v="9000"/>
    <n v="1"/>
    <n v="1"/>
    <b v="1"/>
    <b v="1"/>
    <b v="0"/>
    <b v="0"/>
    <s v="公寓"/>
    <n v="7"/>
    <n v="2"/>
    <n v="5"/>
    <b v="1"/>
    <b v="1"/>
    <b v="1"/>
    <b v="1"/>
    <b v="1"/>
    <b v="1"/>
    <b v="1"/>
    <b v="0"/>
    <b v="0"/>
    <b v="0"/>
    <b v="1"/>
    <s v="1-3層"/>
    <x v="0"/>
  </r>
  <r>
    <s v="台北市"/>
    <x v="10"/>
    <s v="整層住家"/>
    <n v="25000"/>
    <n v="2"/>
    <n v="1"/>
    <b v="1"/>
    <b v="0"/>
    <b v="1"/>
    <b v="0"/>
    <s v="公寓"/>
    <n v="20"/>
    <n v="3"/>
    <n v="5"/>
    <b v="1"/>
    <b v="1"/>
    <b v="1"/>
    <b v="1"/>
    <b v="1"/>
    <b v="1"/>
    <b v="0"/>
    <b v="0"/>
    <b v="0"/>
    <b v="1"/>
    <b v="1"/>
    <s v="1-3層"/>
    <x v="0"/>
  </r>
  <r>
    <s v="台北市"/>
    <x v="11"/>
    <s v="獨立套房"/>
    <n v="13000"/>
    <n v="1"/>
    <n v="1"/>
    <b v="1"/>
    <b v="1"/>
    <b v="0"/>
    <b v="0"/>
    <s v="電梯大樓"/>
    <n v="9"/>
    <n v="10"/>
    <n v="15"/>
    <b v="1"/>
    <b v="1"/>
    <b v="1"/>
    <b v="1"/>
    <b v="1"/>
    <b v="1"/>
    <b v="1"/>
    <b v="0"/>
    <b v="1"/>
    <b v="1"/>
    <b v="1"/>
    <s v="9層以上"/>
    <x v="0"/>
  </r>
  <r>
    <s v="台北市"/>
    <x v="0"/>
    <s v="整層住家"/>
    <n v="42000"/>
    <n v="3"/>
    <n v="2"/>
    <b v="1"/>
    <b v="0"/>
    <b v="0"/>
    <b v="0"/>
    <s v="電梯大樓"/>
    <n v="32"/>
    <n v="7"/>
    <n v="12"/>
    <b v="1"/>
    <b v="1"/>
    <b v="1"/>
    <b v="1"/>
    <b v="1"/>
    <b v="1"/>
    <b v="0"/>
    <b v="1"/>
    <b v="1"/>
    <b v="1"/>
    <b v="1"/>
    <s v="4-8層"/>
    <x v="1"/>
  </r>
  <r>
    <s v="台北市"/>
    <x v="1"/>
    <s v="分租套房"/>
    <n v="11000"/>
    <n v="1"/>
    <n v="1"/>
    <b v="1"/>
    <b v="1"/>
    <b v="0"/>
    <b v="1"/>
    <s v="電梯大樓"/>
    <n v="7.5"/>
    <n v="5"/>
    <n v="8"/>
    <b v="1"/>
    <b v="0"/>
    <b v="1"/>
    <b v="1"/>
    <b v="1"/>
    <b v="1"/>
    <b v="1"/>
    <b v="0"/>
    <b v="1"/>
    <b v="0"/>
    <b v="0"/>
    <s v="4-8層"/>
    <x v="0"/>
  </r>
  <r>
    <s v="台北市"/>
    <x v="2"/>
    <s v="雅房"/>
    <n v="6000"/>
    <n v="1"/>
    <n v="0"/>
    <b v="1"/>
    <b v="0"/>
    <b v="0"/>
    <b v="0"/>
    <s v="公寓"/>
    <n v="5"/>
    <n v="1"/>
    <n v="4"/>
    <b v="1"/>
    <b v="0"/>
    <b v="0"/>
    <b v="1"/>
    <b v="1"/>
    <b v="1"/>
    <b v="1"/>
    <b v="0"/>
    <b v="0"/>
    <b v="0"/>
    <b v="0"/>
    <s v="1-3層"/>
    <x v="0"/>
  </r>
  <r>
    <s v="台北市"/>
    <x v="3"/>
    <s v="獨立套房"/>
    <n v="14000"/>
    <n v="1"/>
    <n v="1"/>
    <b v="1"/>
    <b v="1"/>
    <b v="1"/>
    <b v="0"/>
    <s v="電梯大樓"/>
    <n v="8"/>
    <n v="9"/>
    <n v="14"/>
    <b v="1"/>
    <b v="1"/>
    <b v="1"/>
    <b v="1"/>
    <b v="1"/>
    <b v="1"/>
    <b v="1"/>
    <b v="0"/>
    <b v="1"/>
    <b v="1"/>
    <b v="1"/>
    <s v="9層以上"/>
    <x v="0"/>
  </r>
  <r>
    <s v="台北市"/>
    <x v="4"/>
    <s v="整層住家"/>
    <n v="38000"/>
    <n v="3"/>
    <n v="2"/>
    <b v="1"/>
    <b v="0"/>
    <b v="1"/>
    <b v="0"/>
    <s v="電梯大樓"/>
    <n v="30"/>
    <n v="12"/>
    <n v="20"/>
    <b v="1"/>
    <b v="1"/>
    <b v="1"/>
    <b v="1"/>
    <b v="1"/>
    <b v="1"/>
    <b v="0"/>
    <b v="1"/>
    <b v="1"/>
    <b v="1"/>
    <b v="1"/>
    <s v="9層以上"/>
    <x v="1"/>
  </r>
  <r>
    <s v="台北市"/>
    <x v="5"/>
    <s v="分租套房"/>
    <n v="8500"/>
    <n v="1"/>
    <n v="1"/>
    <b v="0"/>
    <b v="0"/>
    <b v="0"/>
    <b v="0"/>
    <s v="公寓"/>
    <n v="6.5"/>
    <n v="3"/>
    <n v="6"/>
    <b v="1"/>
    <b v="0"/>
    <b v="1"/>
    <b v="1"/>
    <b v="1"/>
    <b v="1"/>
    <b v="1"/>
    <b v="0"/>
    <b v="0"/>
    <b v="0"/>
    <b v="0"/>
    <s v="1-3層"/>
    <x v="0"/>
  </r>
  <r>
    <s v="台北市"/>
    <x v="6"/>
    <s v="雅房"/>
    <n v="5200"/>
    <n v="1"/>
    <n v="0"/>
    <b v="0"/>
    <b v="1"/>
    <b v="0"/>
    <b v="1"/>
    <s v="公寓"/>
    <n v="4.2"/>
    <n v="2"/>
    <n v="4"/>
    <b v="1"/>
    <b v="0"/>
    <b v="0"/>
    <b v="1"/>
    <b v="1"/>
    <b v="1"/>
    <b v="1"/>
    <b v="0"/>
    <b v="0"/>
    <b v="0"/>
    <b v="0"/>
    <s v="1-3層"/>
    <x v="0"/>
  </r>
  <r>
    <s v="台北市"/>
    <x v="7"/>
    <s v="獨立套房"/>
    <n v="9500"/>
    <n v="1"/>
    <n v="1"/>
    <b v="0"/>
    <b v="0"/>
    <b v="1"/>
    <b v="0"/>
    <s v="公寓"/>
    <n v="7.8"/>
    <n v="4"/>
    <n v="5"/>
    <b v="1"/>
    <b v="1"/>
    <b v="1"/>
    <b v="1"/>
    <b v="1"/>
    <b v="1"/>
    <b v="1"/>
    <b v="0"/>
    <b v="0"/>
    <b v="1"/>
    <b v="1"/>
    <s v="4-8層"/>
    <x v="0"/>
  </r>
  <r>
    <s v="台北市"/>
    <x v="8"/>
    <s v="整層住家"/>
    <n v="22000"/>
    <n v="2"/>
    <n v="1"/>
    <b v="1"/>
    <b v="1"/>
    <b v="0"/>
    <b v="0"/>
    <s v="公寓"/>
    <n v="22"/>
    <n v="2"/>
    <n v="4"/>
    <b v="1"/>
    <b v="1"/>
    <b v="1"/>
    <b v="1"/>
    <b v="1"/>
    <b v="1"/>
    <b v="0"/>
    <b v="0"/>
    <b v="0"/>
    <b v="1"/>
    <b v="1"/>
    <s v="1-3層"/>
    <x v="0"/>
  </r>
  <r>
    <s v="台北市"/>
    <x v="9"/>
    <s v="分租套房"/>
    <n v="7000"/>
    <n v="1"/>
    <n v="1"/>
    <b v="1"/>
    <b v="0"/>
    <b v="0"/>
    <b v="0"/>
    <s v="公寓"/>
    <n v="5.8"/>
    <n v="1"/>
    <n v="5"/>
    <b v="1"/>
    <b v="0"/>
    <b v="1"/>
    <b v="1"/>
    <b v="1"/>
    <b v="1"/>
    <b v="1"/>
    <b v="0"/>
    <b v="0"/>
    <b v="0"/>
    <b v="0"/>
    <s v="1-3層"/>
    <x v="0"/>
  </r>
  <r>
    <s v="台北市"/>
    <x v="10"/>
    <s v="雅房"/>
    <n v="4800"/>
    <n v="1"/>
    <n v="0"/>
    <b v="1"/>
    <b v="1"/>
    <b v="0"/>
    <b v="1"/>
    <s v="公寓"/>
    <n v="3.8"/>
    <n v="3"/>
    <n v="5"/>
    <b v="0"/>
    <b v="0"/>
    <b v="0"/>
    <b v="1"/>
    <b v="1"/>
    <b v="0"/>
    <b v="1"/>
    <b v="0"/>
    <b v="0"/>
    <b v="0"/>
    <b v="0"/>
    <s v="1-3層"/>
    <x v="0"/>
  </r>
  <r>
    <s v="台北市"/>
    <x v="11"/>
    <s v="整層住家"/>
    <n v="30000"/>
    <n v="2"/>
    <n v="1"/>
    <b v="1"/>
    <b v="0"/>
    <b v="1"/>
    <b v="0"/>
    <s v="電梯大樓"/>
    <n v="25"/>
    <n v="8"/>
    <n v="12"/>
    <b v="1"/>
    <b v="1"/>
    <b v="1"/>
    <b v="1"/>
    <b v="1"/>
    <b v="1"/>
    <b v="0"/>
    <b v="1"/>
    <b v="1"/>
    <b v="1"/>
    <b v="1"/>
    <s v="4-8層"/>
    <x v="1"/>
  </r>
  <r>
    <s v="台北市"/>
    <x v="0"/>
    <s v="獨立套房"/>
    <n v="16000"/>
    <n v="1"/>
    <n v="1"/>
    <b v="1"/>
    <b v="1"/>
    <b v="0"/>
    <b v="0"/>
    <s v="電梯大樓"/>
    <n v="11"/>
    <n v="6"/>
    <n v="10"/>
    <b v="1"/>
    <b v="1"/>
    <b v="1"/>
    <b v="1"/>
    <b v="1"/>
    <b v="1"/>
    <b v="1"/>
    <b v="0"/>
    <b v="1"/>
    <b v="1"/>
    <b v="1"/>
    <s v="4-8層"/>
    <x v="0"/>
  </r>
  <r>
    <s v="台北市"/>
    <x v="1"/>
    <s v="整層住家"/>
    <n v="45000"/>
    <n v="4"/>
    <n v="2"/>
    <b v="1"/>
    <b v="0"/>
    <b v="1"/>
    <b v="0"/>
    <s v="電梯大樓"/>
    <n v="38"/>
    <n v="15"/>
    <n v="20"/>
    <b v="1"/>
    <b v="1"/>
    <b v="1"/>
    <b v="1"/>
    <b v="1"/>
    <b v="1"/>
    <b v="0"/>
    <b v="1"/>
    <b v="1"/>
    <b v="1"/>
    <b v="1"/>
    <s v="9層以上"/>
    <x v="1"/>
  </r>
  <r>
    <s v="台北市"/>
    <x v="2"/>
    <s v="分租套房"/>
    <n v="10000"/>
    <n v="1"/>
    <n v="1"/>
    <b v="1"/>
    <b v="1"/>
    <b v="0"/>
    <b v="1"/>
    <s v="電梯大樓"/>
    <n v="8.1999999999999993"/>
    <n v="4"/>
    <n v="8"/>
    <b v="1"/>
    <b v="0"/>
    <b v="1"/>
    <b v="1"/>
    <b v="1"/>
    <b v="1"/>
    <b v="1"/>
    <b v="0"/>
    <b v="1"/>
    <b v="0"/>
    <b v="0"/>
    <s v="4-8層"/>
    <x v="0"/>
  </r>
  <r>
    <s v="台北市"/>
    <x v="3"/>
    <s v="雅房"/>
    <n v="5800"/>
    <n v="1"/>
    <n v="0"/>
    <b v="0"/>
    <b v="0"/>
    <b v="1"/>
    <b v="0"/>
    <s v="公寓"/>
    <n v="4.8"/>
    <n v="2"/>
    <n v="4"/>
    <b v="1"/>
    <b v="0"/>
    <b v="0"/>
    <b v="1"/>
    <b v="1"/>
    <b v="1"/>
    <b v="1"/>
    <b v="0"/>
    <b v="0"/>
    <b v="0"/>
    <b v="0"/>
    <s v="1-3層"/>
    <x v="0"/>
  </r>
  <r>
    <s v="台北市"/>
    <x v="4"/>
    <s v="獨立套房"/>
    <n v="13500"/>
    <n v="1"/>
    <n v="1"/>
    <b v="1"/>
    <b v="1"/>
    <b v="0"/>
    <b v="0"/>
    <s v="電梯大樓"/>
    <n v="9.5"/>
    <n v="7"/>
    <n v="12"/>
    <b v="1"/>
    <b v="1"/>
    <b v="1"/>
    <b v="1"/>
    <b v="1"/>
    <b v="1"/>
    <b v="1"/>
    <b v="0"/>
    <b v="1"/>
    <b v="1"/>
    <b v="1"/>
    <s v="4-8層"/>
    <x v="0"/>
  </r>
  <r>
    <s v="台北市"/>
    <x v="5"/>
    <s v="整層住家"/>
    <n v="33000"/>
    <n v="3"/>
    <n v="2"/>
    <b v="0"/>
    <b v="0"/>
    <b v="1"/>
    <b v="0"/>
    <s v="電梯大樓"/>
    <n v="29"/>
    <n v="5"/>
    <n v="10"/>
    <b v="1"/>
    <b v="1"/>
    <b v="1"/>
    <b v="1"/>
    <b v="1"/>
    <b v="1"/>
    <b v="0"/>
    <b v="1"/>
    <b v="1"/>
    <b v="1"/>
    <b v="1"/>
    <s v="4-8層"/>
    <x v="1"/>
  </r>
  <r>
    <s v="台北市"/>
    <x v="6"/>
    <s v="分租套房"/>
    <n v="7800"/>
    <n v="1"/>
    <n v="1"/>
    <b v="1"/>
    <b v="1"/>
    <b v="0"/>
    <b v="0"/>
    <s v="公寓"/>
    <n v="6.2"/>
    <n v="3"/>
    <n v="5"/>
    <b v="1"/>
    <b v="0"/>
    <b v="1"/>
    <b v="1"/>
    <b v="1"/>
    <b v="1"/>
    <b v="1"/>
    <b v="0"/>
    <b v="0"/>
    <b v="0"/>
    <b v="0"/>
    <s v="1-3層"/>
    <x v="0"/>
  </r>
  <r>
    <s v="台北市"/>
    <x v="7"/>
    <s v="雅房"/>
    <n v="5100"/>
    <n v="1"/>
    <n v="0"/>
    <b v="0"/>
    <b v="0"/>
    <b v="0"/>
    <b v="1"/>
    <s v="公寓"/>
    <n v="4.0999999999999996"/>
    <n v="1"/>
    <n v="4"/>
    <b v="0"/>
    <b v="0"/>
    <b v="0"/>
    <b v="1"/>
    <b v="1"/>
    <b v="1"/>
    <b v="1"/>
    <b v="0"/>
    <b v="0"/>
    <b v="0"/>
    <b v="0"/>
    <s v="1-3層"/>
    <x v="0"/>
  </r>
  <r>
    <s v="台北市"/>
    <x v="8"/>
    <s v="獨立套房"/>
    <n v="11000"/>
    <n v="1"/>
    <n v="1"/>
    <b v="1"/>
    <b v="1"/>
    <b v="1"/>
    <b v="0"/>
    <s v="公寓"/>
    <n v="8.8000000000000007"/>
    <n v="2"/>
    <n v="4"/>
    <b v="1"/>
    <b v="1"/>
    <b v="1"/>
    <b v="1"/>
    <b v="1"/>
    <b v="1"/>
    <b v="1"/>
    <b v="0"/>
    <b v="0"/>
    <b v="1"/>
    <b v="1"/>
    <s v="1-3層"/>
    <x v="0"/>
  </r>
  <r>
    <s v="台北市"/>
    <x v="9"/>
    <s v="整層住家"/>
    <n v="18000"/>
    <n v="1"/>
    <n v="1"/>
    <b v="1"/>
    <b v="0"/>
    <b v="0"/>
    <b v="0"/>
    <s v="公寓"/>
    <n v="15"/>
    <n v="3"/>
    <n v="5"/>
    <b v="1"/>
    <b v="1"/>
    <b v="1"/>
    <b v="1"/>
    <b v="1"/>
    <b v="1"/>
    <b v="0"/>
    <b v="0"/>
    <b v="0"/>
    <b v="1"/>
    <b v="1"/>
    <s v="1-3層"/>
    <x v="0"/>
  </r>
  <r>
    <s v="台北市"/>
    <x v="10"/>
    <s v="分租套房"/>
    <n v="7200"/>
    <n v="1"/>
    <n v="1"/>
    <b v="1"/>
    <b v="1"/>
    <b v="0"/>
    <b v="0"/>
    <s v="公寓"/>
    <n v="5.6"/>
    <n v="4"/>
    <n v="5"/>
    <b v="1"/>
    <b v="0"/>
    <b v="1"/>
    <b v="1"/>
    <b v="1"/>
    <b v="1"/>
    <b v="1"/>
    <b v="0"/>
    <b v="0"/>
    <b v="0"/>
    <b v="0"/>
    <s v="4-8層"/>
    <x v="0"/>
  </r>
  <r>
    <s v="台北市"/>
    <x v="11"/>
    <s v="雅房"/>
    <n v="5300"/>
    <n v="1"/>
    <n v="0"/>
    <b v="0"/>
    <b v="0"/>
    <b v="1"/>
    <b v="1"/>
    <s v="公寓"/>
    <n v="4.3"/>
    <n v="2"/>
    <n v="4"/>
    <b v="1"/>
    <b v="0"/>
    <b v="0"/>
    <b v="1"/>
    <b v="1"/>
    <b v="1"/>
    <b v="1"/>
    <b v="0"/>
    <b v="0"/>
    <b v="0"/>
    <b v="0"/>
    <s v="1-3層"/>
    <x v="0"/>
  </r>
  <r>
    <s v="台北市"/>
    <x v="0"/>
    <s v="整層住家"/>
    <n v="48000"/>
    <n v="4"/>
    <n v="2"/>
    <b v="1"/>
    <b v="0"/>
    <b v="0"/>
    <b v="0"/>
    <s v="電梯大樓"/>
    <n v="40"/>
    <n v="10"/>
    <n v="15"/>
    <b v="1"/>
    <b v="1"/>
    <b v="1"/>
    <b v="1"/>
    <b v="1"/>
    <b v="1"/>
    <b v="0"/>
    <b v="1"/>
    <b v="1"/>
    <b v="1"/>
    <b v="1"/>
    <s v="9層以上"/>
    <x v="1"/>
  </r>
  <r>
    <s v="台北市"/>
    <x v="1"/>
    <s v="獨立套房"/>
    <n v="17000"/>
    <n v="1"/>
    <n v="1"/>
    <b v="1"/>
    <b v="1"/>
    <b v="1"/>
    <b v="0"/>
    <s v="電梯大樓"/>
    <n v="12"/>
    <n v="8"/>
    <n v="12"/>
    <b v="1"/>
    <b v="1"/>
    <b v="1"/>
    <b v="1"/>
    <b v="1"/>
    <b v="1"/>
    <b v="1"/>
    <b v="0"/>
    <b v="1"/>
    <b v="1"/>
    <b v="1"/>
    <s v="4-8層"/>
    <x v="0"/>
  </r>
  <r>
    <s v="台北市"/>
    <x v="2"/>
    <s v="分租套房"/>
    <n v="9200"/>
    <n v="1"/>
    <n v="1"/>
    <b v="1"/>
    <b v="0"/>
    <b v="0"/>
    <b v="1"/>
    <s v="電梯大樓"/>
    <n v="7.2"/>
    <n v="6"/>
    <n v="9"/>
    <b v="1"/>
    <b v="0"/>
    <b v="1"/>
    <b v="1"/>
    <b v="1"/>
    <b v="1"/>
    <b v="1"/>
    <b v="0"/>
    <b v="1"/>
    <b v="0"/>
    <b v="0"/>
    <s v="4-8層"/>
    <x v="0"/>
  </r>
  <r>
    <s v="台北市"/>
    <x v="3"/>
    <s v="雅房"/>
    <n v="6200"/>
    <n v="1"/>
    <n v="0"/>
    <b v="1"/>
    <b v="1"/>
    <b v="0"/>
    <b v="0"/>
    <s v="公寓"/>
    <n v="5.2"/>
    <n v="1"/>
    <n v="4"/>
    <b v="1"/>
    <b v="0"/>
    <b v="0"/>
    <b v="1"/>
    <b v="1"/>
    <b v="1"/>
    <b v="1"/>
    <b v="0"/>
    <b v="0"/>
    <b v="0"/>
    <b v="0"/>
    <s v="1-3層"/>
    <x v="0"/>
  </r>
  <r>
    <s v="台北市"/>
    <x v="4"/>
    <s v="整層住家"/>
    <n v="32000"/>
    <n v="2"/>
    <n v="1"/>
    <b v="1"/>
    <b v="0"/>
    <b v="1"/>
    <b v="0"/>
    <s v="電梯大樓"/>
    <n v="26"/>
    <n v="9"/>
    <n v="14"/>
    <b v="1"/>
    <b v="1"/>
    <b v="1"/>
    <b v="1"/>
    <b v="1"/>
    <b v="1"/>
    <b v="0"/>
    <b v="1"/>
    <b v="1"/>
    <b v="1"/>
    <b v="1"/>
    <s v="9層以上"/>
    <x v="1"/>
  </r>
  <r>
    <s v="台北市"/>
    <x v="5"/>
    <s v="獨立套房"/>
    <n v="12500"/>
    <n v="1"/>
    <n v="1"/>
    <b v="0"/>
    <b v="1"/>
    <b v="0"/>
    <b v="0"/>
    <s v="電梯大樓"/>
    <n v="9.1999999999999993"/>
    <n v="4"/>
    <n v="8"/>
    <b v="1"/>
    <b v="1"/>
    <b v="1"/>
    <b v="1"/>
    <b v="1"/>
    <b v="1"/>
    <b v="1"/>
    <b v="0"/>
    <b v="1"/>
    <b v="1"/>
    <b v="1"/>
    <s v="4-8層"/>
    <x v="0"/>
  </r>
  <r>
    <s v="台北市"/>
    <x v="6"/>
    <s v="整層住家"/>
    <n v="28000"/>
    <n v="3"/>
    <n v="2"/>
    <b v="1"/>
    <b v="0"/>
    <b v="1"/>
    <b v="0"/>
    <s v="透天厝"/>
    <n v="32"/>
    <n v="1"/>
    <n v="3"/>
    <b v="1"/>
    <b v="1"/>
    <b v="1"/>
    <b v="1"/>
    <b v="1"/>
    <b v="1"/>
    <b v="0"/>
    <b v="1"/>
    <b v="0"/>
    <b v="1"/>
    <b v="1"/>
    <s v="1-3層"/>
    <x v="0"/>
  </r>
  <r>
    <s v="台北市"/>
    <x v="7"/>
    <s v="分租套房"/>
    <n v="8300"/>
    <n v="1"/>
    <n v="1"/>
    <b v="0"/>
    <b v="1"/>
    <b v="0"/>
    <b v="0"/>
    <s v="公寓"/>
    <n v="6.8"/>
    <n v="3"/>
    <n v="5"/>
    <b v="1"/>
    <b v="0"/>
    <b v="1"/>
    <b v="1"/>
    <b v="1"/>
    <b v="1"/>
    <b v="1"/>
    <b v="0"/>
    <b v="0"/>
    <b v="0"/>
    <b v="0"/>
    <s v="1-3層"/>
    <x v="0"/>
  </r>
  <r>
    <s v="台北市"/>
    <x v="8"/>
    <s v="雅房"/>
    <n v="4900"/>
    <n v="1"/>
    <n v="0"/>
    <b v="1"/>
    <b v="0"/>
    <b v="0"/>
    <b v="1"/>
    <s v="公寓"/>
    <n v="3.9"/>
    <n v="2"/>
    <n v="4"/>
    <b v="0"/>
    <b v="0"/>
    <b v="0"/>
    <b v="1"/>
    <b v="1"/>
    <b v="0"/>
    <b v="1"/>
    <b v="0"/>
    <b v="0"/>
    <b v="0"/>
    <b v="0"/>
    <s v="1-3層"/>
    <x v="0"/>
  </r>
  <r>
    <s v="台北市"/>
    <x v="9"/>
    <s v="獨立套房"/>
    <n v="10500"/>
    <n v="1"/>
    <n v="1"/>
    <b v="1"/>
    <b v="1"/>
    <b v="1"/>
    <b v="0"/>
    <s v="公寓"/>
    <n v="8.5"/>
    <n v="2"/>
    <n v="5"/>
    <b v="1"/>
    <b v="1"/>
    <b v="1"/>
    <b v="1"/>
    <b v="1"/>
    <b v="1"/>
    <b v="1"/>
    <b v="0"/>
    <b v="0"/>
    <b v="1"/>
    <b v="1"/>
    <s v="1-3層"/>
    <x v="0"/>
  </r>
  <r>
    <s v="台北市"/>
    <x v="10"/>
    <s v="整層住家"/>
    <n v="23000"/>
    <n v="2"/>
    <n v="1"/>
    <b v="1"/>
    <b v="0"/>
    <b v="0"/>
    <b v="0"/>
    <s v="公寓"/>
    <n v="21"/>
    <n v="4"/>
    <n v="5"/>
    <b v="1"/>
    <b v="1"/>
    <b v="1"/>
    <b v="1"/>
    <b v="1"/>
    <b v="1"/>
    <b v="0"/>
    <b v="0"/>
    <b v="0"/>
    <b v="1"/>
    <b v="1"/>
    <s v="4-8層"/>
    <x v="0"/>
  </r>
  <r>
    <s v="台北市"/>
    <x v="11"/>
    <s v="分租套房"/>
    <n v="8800"/>
    <n v="1"/>
    <n v="1"/>
    <b v="1"/>
    <b v="1"/>
    <b v="0"/>
    <b v="0"/>
    <s v="電梯大樓"/>
    <n v="7"/>
    <n v="5"/>
    <n v="10"/>
    <b v="1"/>
    <b v="0"/>
    <b v="1"/>
    <b v="1"/>
    <b v="1"/>
    <b v="1"/>
    <b v="1"/>
    <b v="0"/>
    <b v="1"/>
    <b v="0"/>
    <b v="0"/>
    <s v="4-8層"/>
    <x v="0"/>
  </r>
  <r>
    <s v="台北市"/>
    <x v="0"/>
    <s v="雅房"/>
    <n v="6700"/>
    <n v="1"/>
    <n v="0"/>
    <b v="1"/>
    <b v="0"/>
    <b v="0"/>
    <b v="1"/>
    <s v="公寓"/>
    <n v="5.5"/>
    <n v="3"/>
    <n v="5"/>
    <b v="1"/>
    <b v="0"/>
    <b v="0"/>
    <b v="1"/>
    <b v="1"/>
    <b v="1"/>
    <b v="1"/>
    <b v="0"/>
    <b v="0"/>
    <b v="0"/>
    <b v="0"/>
    <s v="1-3層"/>
    <x v="0"/>
  </r>
  <r>
    <s v="台北市"/>
    <x v="1"/>
    <s v="整層住家"/>
    <n v="52000"/>
    <n v="4"/>
    <n v="3"/>
    <b v="1"/>
    <b v="0"/>
    <b v="1"/>
    <b v="0"/>
    <s v="電梯大樓"/>
    <n v="45"/>
    <n v="18"/>
    <n v="25"/>
    <b v="1"/>
    <b v="1"/>
    <b v="1"/>
    <b v="1"/>
    <b v="1"/>
    <b v="1"/>
    <b v="0"/>
    <b v="1"/>
    <b v="1"/>
    <b v="1"/>
    <b v="1"/>
    <s v="9層以上"/>
    <x v="1"/>
  </r>
  <r>
    <s v="台北市"/>
    <x v="2"/>
    <s v="獨立套房"/>
    <n v="14500"/>
    <n v="1"/>
    <n v="1"/>
    <b v="1"/>
    <b v="1"/>
    <b v="0"/>
    <b v="0"/>
    <s v="電梯大樓"/>
    <n v="10.5"/>
    <n v="7"/>
    <n v="11"/>
    <b v="1"/>
    <b v="1"/>
    <b v="1"/>
    <b v="1"/>
    <b v="1"/>
    <b v="1"/>
    <b v="1"/>
    <b v="0"/>
    <b v="1"/>
    <b v="1"/>
    <b v="1"/>
    <s v="4-8層"/>
    <x v="0"/>
  </r>
  <r>
    <s v="台北市"/>
    <x v="3"/>
    <s v="分租套房"/>
    <n v="9800"/>
    <n v="1"/>
    <n v="1"/>
    <b v="1"/>
    <b v="0"/>
    <b v="1"/>
    <b v="1"/>
    <s v="電梯大樓"/>
    <n v="8"/>
    <n v="4"/>
    <n v="7"/>
    <b v="1"/>
    <b v="0"/>
    <b v="1"/>
    <b v="1"/>
    <b v="1"/>
    <b v="1"/>
    <b v="1"/>
    <b v="0"/>
    <b v="1"/>
    <b v="0"/>
    <b v="0"/>
    <s v="4-8層"/>
    <x v="0"/>
  </r>
  <r>
    <s v="台北市"/>
    <x v="4"/>
    <s v="雅房"/>
    <n v="5400"/>
    <n v="1"/>
    <n v="0"/>
    <b v="1"/>
    <b v="1"/>
    <b v="0"/>
    <b v="0"/>
    <s v="公寓"/>
    <n v="4.5999999999999996"/>
    <n v="2"/>
    <n v="4"/>
    <b v="1"/>
    <b v="0"/>
    <b v="0"/>
    <b v="1"/>
    <b v="1"/>
    <b v="1"/>
    <b v="1"/>
    <b v="0"/>
    <b v="0"/>
    <b v="0"/>
    <b v="0"/>
    <s v="1-3層"/>
    <x v="0"/>
  </r>
  <r>
    <s v="台北市"/>
    <x v="5"/>
    <s v="整層住家"/>
    <n v="36000"/>
    <n v="3"/>
    <n v="2"/>
    <b v="0"/>
    <b v="0"/>
    <b v="1"/>
    <b v="0"/>
    <s v="電梯大樓"/>
    <n v="31"/>
    <n v="6"/>
    <n v="12"/>
    <b v="1"/>
    <b v="1"/>
    <b v="1"/>
    <b v="1"/>
    <b v="1"/>
    <b v="1"/>
    <b v="0"/>
    <b v="1"/>
    <b v="1"/>
    <b v="1"/>
    <b v="1"/>
    <s v="4-8層"/>
    <x v="1"/>
  </r>
  <r>
    <s v="台北市"/>
    <x v="6"/>
    <s v="獨立套房"/>
    <n v="11500"/>
    <n v="1"/>
    <n v="1"/>
    <b v="1"/>
    <b v="1"/>
    <b v="0"/>
    <b v="0"/>
    <s v="公寓"/>
    <n v="9.8000000000000007"/>
    <n v="3"/>
    <n v="5"/>
    <b v="1"/>
    <b v="1"/>
    <b v="1"/>
    <b v="1"/>
    <b v="1"/>
    <b v="1"/>
    <b v="1"/>
    <b v="0"/>
    <b v="0"/>
    <b v="1"/>
    <b v="1"/>
    <s v="1-3層"/>
    <x v="0"/>
  </r>
  <r>
    <s v="台北市"/>
    <x v="7"/>
    <s v="分租套房"/>
    <n v="7600"/>
    <n v="1"/>
    <n v="1"/>
    <b v="0"/>
    <b v="0"/>
    <b v="0"/>
    <b v="0"/>
    <s v="公寓"/>
    <n v="6.3"/>
    <n v="4"/>
    <n v="5"/>
    <b v="1"/>
    <b v="0"/>
    <b v="1"/>
    <b v="1"/>
    <b v="1"/>
    <b v="1"/>
    <b v="1"/>
    <b v="0"/>
    <b v="0"/>
    <b v="0"/>
    <b v="0"/>
    <s v="4-8層"/>
    <x v="0"/>
  </r>
  <r>
    <s v="台北市"/>
    <x v="8"/>
    <s v="雅房"/>
    <n v="4700"/>
    <n v="1"/>
    <n v="0"/>
    <b v="1"/>
    <b v="1"/>
    <b v="1"/>
    <b v="1"/>
    <s v="公寓"/>
    <n v="3.7"/>
    <n v="1"/>
    <n v="4"/>
    <b v="0"/>
    <b v="0"/>
    <b v="0"/>
    <b v="1"/>
    <b v="1"/>
    <b v="0"/>
    <b v="1"/>
    <b v="0"/>
    <b v="0"/>
    <b v="0"/>
    <b v="0"/>
    <s v="1-3層"/>
    <x v="0"/>
  </r>
  <r>
    <s v="台北市"/>
    <x v="9"/>
    <s v="整層住家"/>
    <n v="19500"/>
    <n v="1"/>
    <n v="1"/>
    <b v="1"/>
    <b v="0"/>
    <b v="0"/>
    <b v="0"/>
    <s v="公寓"/>
    <n v="16"/>
    <n v="2"/>
    <n v="5"/>
    <b v="1"/>
    <b v="1"/>
    <b v="1"/>
    <b v="1"/>
    <b v="1"/>
    <b v="1"/>
    <b v="0"/>
    <b v="0"/>
    <b v="0"/>
    <b v="1"/>
    <b v="1"/>
    <s v="1-3層"/>
    <x v="0"/>
  </r>
  <r>
    <s v="台北市"/>
    <x v="10"/>
    <s v="獨立套房"/>
    <n v="12800"/>
    <n v="1"/>
    <n v="1"/>
    <b v="1"/>
    <b v="1"/>
    <b v="0"/>
    <b v="0"/>
    <s v="電梯大樓"/>
    <n v="9"/>
    <n v="5"/>
    <n v="8"/>
    <b v="1"/>
    <b v="1"/>
    <b v="1"/>
    <b v="1"/>
    <b v="1"/>
    <b v="1"/>
    <b v="1"/>
    <b v="0"/>
    <b v="1"/>
    <b v="1"/>
    <b v="1"/>
    <s v="4-8層"/>
    <x v="0"/>
  </r>
  <r>
    <s v="台北市"/>
    <x v="11"/>
    <s v="分租套房"/>
    <n v="8100"/>
    <n v="1"/>
    <n v="1"/>
    <b v="1"/>
    <b v="0"/>
    <b v="0"/>
    <b v="1"/>
    <s v="公寓"/>
    <n v="6.5"/>
    <n v="3"/>
    <n v="5"/>
    <b v="1"/>
    <b v="0"/>
    <b v="1"/>
    <b v="1"/>
    <b v="1"/>
    <b v="1"/>
    <b v="1"/>
    <b v="0"/>
    <b v="0"/>
    <b v="0"/>
    <b v="0"/>
    <s v="1-3層"/>
    <x v="0"/>
  </r>
  <r>
    <s v="台北市"/>
    <x v="0"/>
    <s v="雅房"/>
    <n v="7100"/>
    <n v="1"/>
    <n v="0"/>
    <b v="1"/>
    <b v="1"/>
    <b v="0"/>
    <b v="0"/>
    <s v="公寓"/>
    <n v="5.8"/>
    <n v="4"/>
    <n v="5"/>
    <b v="1"/>
    <b v="0"/>
    <b v="0"/>
    <b v="1"/>
    <b v="1"/>
    <b v="1"/>
    <b v="1"/>
    <b v="0"/>
    <b v="0"/>
    <b v="0"/>
    <b v="0"/>
    <s v="4-8層"/>
    <x v="0"/>
  </r>
  <r>
    <s v="台北市"/>
    <x v="1"/>
    <s v="整層住家"/>
    <n v="58000"/>
    <n v="5"/>
    <n v="3"/>
    <b v="1"/>
    <b v="0"/>
    <b v="1"/>
    <b v="0"/>
    <s v="電梯大樓"/>
    <n v="50"/>
    <n v="20"/>
    <n v="25"/>
    <b v="1"/>
    <b v="1"/>
    <b v="1"/>
    <b v="1"/>
    <b v="1"/>
    <b v="1"/>
    <b v="0"/>
    <b v="1"/>
    <b v="1"/>
    <b v="1"/>
    <b v="1"/>
    <s v="9層以上"/>
    <x v="1"/>
  </r>
  <r>
    <s v="台北市"/>
    <x v="2"/>
    <s v="獨立套房"/>
    <n v="15500"/>
    <n v="1"/>
    <n v="1"/>
    <b v="1"/>
    <b v="1"/>
    <b v="1"/>
    <b v="0"/>
    <s v="電梯大樓"/>
    <n v="11.5"/>
    <n v="9"/>
    <n v="13"/>
    <b v="1"/>
    <b v="1"/>
    <b v="1"/>
    <b v="1"/>
    <b v="1"/>
    <b v="1"/>
    <b v="1"/>
    <b v="0"/>
    <b v="1"/>
    <b v="1"/>
    <b v="1"/>
    <s v="9層以上"/>
    <x v="0"/>
  </r>
  <r>
    <s v="台北市"/>
    <x v="3"/>
    <s v="分租套房"/>
    <n v="10500"/>
    <n v="1"/>
    <n v="1"/>
    <b v="1"/>
    <b v="0"/>
    <b v="0"/>
    <b v="1"/>
    <s v="電梯大樓"/>
    <n v="8.5"/>
    <n v="5"/>
    <n v="8"/>
    <b v="1"/>
    <b v="0"/>
    <b v="1"/>
    <b v="1"/>
    <b v="1"/>
    <b v="1"/>
    <b v="1"/>
    <b v="0"/>
    <b v="1"/>
    <b v="0"/>
    <b v="0"/>
    <s v="4-8層"/>
    <x v="0"/>
  </r>
  <r>
    <s v="台北市"/>
    <x v="4"/>
    <s v="雅房"/>
    <n v="5900"/>
    <n v="1"/>
    <n v="0"/>
    <b v="1"/>
    <b v="1"/>
    <b v="0"/>
    <b v="0"/>
    <s v="公寓"/>
    <n v="4.9000000000000004"/>
    <n v="2"/>
    <n v="4"/>
    <b v="1"/>
    <b v="0"/>
    <b v="0"/>
    <b v="1"/>
    <b v="1"/>
    <b v="1"/>
    <b v="1"/>
    <b v="0"/>
    <b v="0"/>
    <b v="0"/>
    <b v="0"/>
    <s v="1-3層"/>
    <x v="0"/>
  </r>
  <r>
    <s v="台北市"/>
    <x v="5"/>
    <s v="整層住家"/>
    <n v="40000"/>
    <n v="4"/>
    <n v="2"/>
    <b v="0"/>
    <b v="0"/>
    <b v="1"/>
    <b v="0"/>
    <s v="電梯大樓"/>
    <n v="35"/>
    <n v="7"/>
    <n v="12"/>
    <b v="1"/>
    <b v="1"/>
    <b v="1"/>
    <b v="1"/>
    <b v="1"/>
    <b v="1"/>
    <b v="0"/>
    <b v="1"/>
    <b v="1"/>
    <b v="1"/>
    <b v="1"/>
    <s v="4-8層"/>
    <x v="1"/>
  </r>
  <r>
    <s v="台北市"/>
    <x v="6"/>
    <s v="獨立套房"/>
    <n v="13500"/>
    <n v="1"/>
    <n v="1"/>
    <b v="1"/>
    <b v="1"/>
    <b v="0"/>
    <b v="0"/>
    <s v="公寓"/>
    <n v="10.199999999999999"/>
    <n v="4"/>
    <n v="5"/>
    <b v="1"/>
    <b v="1"/>
    <b v="1"/>
    <b v="1"/>
    <b v="1"/>
    <b v="1"/>
    <b v="1"/>
    <b v="0"/>
    <b v="0"/>
    <b v="1"/>
    <b v="1"/>
    <s v="4-8層"/>
    <x v="0"/>
  </r>
  <r>
    <s v="台北市"/>
    <x v="7"/>
    <s v="分租套房"/>
    <n v="7900"/>
    <n v="1"/>
    <n v="1"/>
    <b v="0"/>
    <b v="0"/>
    <b v="1"/>
    <b v="0"/>
    <s v="公寓"/>
    <n v="6"/>
    <n v="3"/>
    <n v="5"/>
    <b v="1"/>
    <b v="0"/>
    <b v="1"/>
    <b v="1"/>
    <b v="1"/>
    <b v="1"/>
    <b v="1"/>
    <b v="0"/>
    <b v="0"/>
    <b v="0"/>
    <b v="0"/>
    <s v="1-3層"/>
    <x v="0"/>
  </r>
  <r>
    <s v="台北市"/>
    <x v="8"/>
    <s v="雅房"/>
    <n v="4600"/>
    <n v="1"/>
    <n v="0"/>
    <b v="1"/>
    <b v="1"/>
    <b v="0"/>
    <b v="1"/>
    <s v="公寓"/>
    <n v="3.5"/>
    <n v="1"/>
    <n v="4"/>
    <b v="0"/>
    <b v="0"/>
    <b v="0"/>
    <b v="1"/>
    <b v="1"/>
    <b v="0"/>
    <b v="1"/>
    <b v="0"/>
    <b v="0"/>
    <b v="0"/>
    <b v="0"/>
    <s v="1-3層"/>
    <x v="0"/>
  </r>
  <r>
    <s v="台北市"/>
    <x v="9"/>
    <s v="整層住家"/>
    <n v="21000"/>
    <n v="2"/>
    <n v="1"/>
    <b v="1"/>
    <b v="0"/>
    <b v="0"/>
    <b v="0"/>
    <s v="公寓"/>
    <n v="18"/>
    <n v="3"/>
    <n v="5"/>
    <b v="1"/>
    <b v="1"/>
    <b v="1"/>
    <b v="1"/>
    <b v="1"/>
    <b v="1"/>
    <b v="0"/>
    <b v="0"/>
    <b v="0"/>
    <b v="1"/>
    <b v="1"/>
    <s v="1-3層"/>
    <x v="0"/>
  </r>
  <r>
    <s v="台北市"/>
    <x v="10"/>
    <s v="獨立套房"/>
    <n v="14200"/>
    <n v="1"/>
    <n v="1"/>
    <b v="1"/>
    <b v="1"/>
    <b v="1"/>
    <b v="0"/>
    <s v="電梯大樓"/>
    <n v="10.8"/>
    <n v="6"/>
    <n v="10"/>
    <b v="1"/>
    <b v="1"/>
    <b v="1"/>
    <b v="1"/>
    <b v="1"/>
    <b v="1"/>
    <b v="1"/>
    <b v="0"/>
    <b v="1"/>
    <b v="1"/>
    <b v="1"/>
    <s v="4-8層"/>
    <x v="0"/>
  </r>
  <r>
    <s v="台北市"/>
    <x v="11"/>
    <s v="分租套房"/>
    <n v="8700"/>
    <n v="1"/>
    <n v="1"/>
    <b v="1"/>
    <b v="0"/>
    <b v="0"/>
    <b v="1"/>
    <s v="公寓"/>
    <n v="6.7"/>
    <n v="4"/>
    <n v="5"/>
    <b v="1"/>
    <b v="0"/>
    <b v="1"/>
    <b v="1"/>
    <b v="1"/>
    <b v="1"/>
    <b v="1"/>
    <b v="0"/>
    <b v="0"/>
    <b v="0"/>
    <b v="0"/>
    <s v="4-8層"/>
    <x v="0"/>
  </r>
  <r>
    <s v="台北市"/>
    <x v="0"/>
    <s v="雅房"/>
    <n v="6800"/>
    <n v="1"/>
    <n v="0"/>
    <b v="1"/>
    <b v="1"/>
    <b v="0"/>
    <b v="0"/>
    <s v="公寓"/>
    <n v="5.3"/>
    <n v="3"/>
    <n v="5"/>
    <b v="1"/>
    <b v="0"/>
    <b v="0"/>
    <b v="1"/>
    <b v="1"/>
    <b v="1"/>
    <b v="1"/>
    <b v="0"/>
    <b v="0"/>
    <b v="0"/>
    <b v="0"/>
    <s v="1-3層"/>
    <x v="0"/>
  </r>
  <r>
    <s v="台北市"/>
    <x v="1"/>
    <s v="整層住家"/>
    <n v="62000"/>
    <n v="5"/>
    <n v="3"/>
    <b v="1"/>
    <b v="0"/>
    <b v="1"/>
    <b v="0"/>
    <s v="電梯大樓"/>
    <n v="55"/>
    <n v="22"/>
    <n v="28"/>
    <b v="1"/>
    <b v="1"/>
    <b v="1"/>
    <b v="1"/>
    <b v="1"/>
    <b v="1"/>
    <b v="0"/>
    <b v="1"/>
    <b v="1"/>
    <b v="1"/>
    <b v="1"/>
    <s v="9層以上"/>
    <x v="1"/>
  </r>
  <r>
    <s v="台北市"/>
    <x v="2"/>
    <s v="獨立套房"/>
    <n v="16500"/>
    <n v="1"/>
    <n v="1"/>
    <b v="1"/>
    <b v="1"/>
    <b v="0"/>
    <b v="0"/>
    <s v="電梯大樓"/>
    <n v="12.5"/>
    <n v="10"/>
    <n v="15"/>
    <b v="1"/>
    <b v="1"/>
    <b v="1"/>
    <b v="1"/>
    <b v="1"/>
    <b v="1"/>
    <b v="1"/>
    <b v="0"/>
    <b v="1"/>
    <b v="1"/>
    <b v="1"/>
    <s v="9層以上"/>
    <x v="0"/>
  </r>
  <r>
    <s v="台北市"/>
    <x v="3"/>
    <s v="分租套房"/>
    <n v="11200"/>
    <n v="1"/>
    <n v="1"/>
    <b v="1"/>
    <b v="0"/>
    <b v="1"/>
    <b v="1"/>
    <s v="電梯大樓"/>
    <n v="9"/>
    <n v="6"/>
    <n v="9"/>
    <b v="1"/>
    <b v="0"/>
    <b v="1"/>
    <b v="1"/>
    <b v="1"/>
    <b v="1"/>
    <b v="1"/>
    <b v="0"/>
    <b v="1"/>
    <b v="0"/>
    <b v="0"/>
    <s v="4-8層"/>
    <x v="0"/>
  </r>
  <r>
    <s v="台北市"/>
    <x v="4"/>
    <s v="雅房"/>
    <n v="6100"/>
    <n v="1"/>
    <n v="0"/>
    <b v="1"/>
    <b v="1"/>
    <b v="0"/>
    <b v="0"/>
    <s v="公寓"/>
    <n v="5"/>
    <n v="2"/>
    <n v="4"/>
    <b v="1"/>
    <b v="0"/>
    <b v="0"/>
    <b v="1"/>
    <b v="1"/>
    <b v="1"/>
    <b v="1"/>
    <b v="0"/>
    <b v="0"/>
    <b v="0"/>
    <b v="0"/>
    <s v="1-3層"/>
    <x v="0"/>
  </r>
  <r>
    <s v="台北市"/>
    <x v="5"/>
    <s v="整層住家"/>
    <n v="44000"/>
    <n v="4"/>
    <n v="2"/>
    <b v="0"/>
    <b v="0"/>
    <b v="1"/>
    <b v="0"/>
    <s v="電梯大樓"/>
    <n v="38"/>
    <n v="8"/>
    <n v="14"/>
    <b v="1"/>
    <b v="1"/>
    <b v="1"/>
    <b v="1"/>
    <b v="1"/>
    <b v="1"/>
    <b v="0"/>
    <b v="1"/>
    <b v="1"/>
    <b v="1"/>
    <b v="1"/>
    <s v="4-8層"/>
    <x v="1"/>
  </r>
  <r>
    <s v="台北市"/>
    <x v="6"/>
    <s v="獨立套房"/>
    <n v="14800"/>
    <n v="1"/>
    <n v="1"/>
    <b v="1"/>
    <b v="1"/>
    <b v="0"/>
    <b v="0"/>
    <s v="公寓"/>
    <n v="11.2"/>
    <n v="5"/>
    <n v="5"/>
    <b v="1"/>
    <b v="1"/>
    <b v="1"/>
    <b v="1"/>
    <b v="1"/>
    <b v="1"/>
    <b v="1"/>
    <b v="0"/>
    <b v="0"/>
    <b v="1"/>
    <b v="1"/>
    <s v="4-8層"/>
    <x v="0"/>
  </r>
  <r>
    <s v="台北市"/>
    <x v="7"/>
    <s v="分租套房"/>
    <n v="8200"/>
    <n v="1"/>
    <n v="1"/>
    <b v="0"/>
    <b v="0"/>
    <b v="0"/>
    <b v="0"/>
    <s v="公寓"/>
    <n v="6.2"/>
    <n v="4"/>
    <n v="5"/>
    <b v="1"/>
    <b v="0"/>
    <b v="1"/>
    <b v="1"/>
    <b v="1"/>
    <b v="1"/>
    <b v="1"/>
    <b v="0"/>
    <b v="0"/>
    <b v="0"/>
    <b v="0"/>
    <s v="4-8層"/>
    <x v="0"/>
  </r>
  <r>
    <s v="台北市"/>
    <x v="8"/>
    <s v="雅房"/>
    <n v="4500"/>
    <n v="1"/>
    <n v="0"/>
    <b v="1"/>
    <b v="1"/>
    <b v="1"/>
    <b v="1"/>
    <s v="公寓"/>
    <n v="3.3"/>
    <n v="1"/>
    <n v="4"/>
    <b v="0"/>
    <b v="0"/>
    <b v="0"/>
    <b v="1"/>
    <b v="1"/>
    <b v="0"/>
    <b v="1"/>
    <b v="0"/>
    <b v="0"/>
    <b v="0"/>
    <b v="0"/>
    <s v="1-3層"/>
    <x v="0"/>
  </r>
  <r>
    <s v="台北市"/>
    <x v="9"/>
    <s v="整層住家"/>
    <n v="24000"/>
    <n v="2"/>
    <n v="1"/>
    <b v="1"/>
    <b v="0"/>
    <b v="0"/>
    <b v="0"/>
    <s v="公寓"/>
    <n v="19"/>
    <n v="3"/>
    <n v="5"/>
    <b v="1"/>
    <b v="1"/>
    <b v="1"/>
    <b v="1"/>
    <b v="1"/>
    <b v="1"/>
    <b v="0"/>
    <b v="0"/>
    <b v="0"/>
    <b v="1"/>
    <b v="1"/>
    <s v="1-3層"/>
    <x v="0"/>
  </r>
  <r>
    <s v="台北市"/>
    <x v="10"/>
    <s v="獨立套房"/>
    <n v="13800"/>
    <n v="1"/>
    <n v="1"/>
    <b v="1"/>
    <b v="1"/>
    <b v="0"/>
    <b v="0"/>
    <s v="電梯大樓"/>
    <n v="10"/>
    <n v="7"/>
    <n v="12"/>
    <b v="1"/>
    <b v="1"/>
    <b v="1"/>
    <b v="1"/>
    <b v="1"/>
    <b v="1"/>
    <b v="1"/>
    <b v="0"/>
    <b v="1"/>
    <b v="1"/>
    <b v="1"/>
    <s v="4-8層"/>
    <x v="0"/>
  </r>
  <r>
    <s v="台北市"/>
    <x v="11"/>
    <s v="分租套房"/>
    <n v="9000"/>
    <n v="1"/>
    <n v="1"/>
    <b v="1"/>
    <b v="0"/>
    <b v="0"/>
    <b v="1"/>
    <s v="公寓"/>
    <n v="7.3"/>
    <n v="3"/>
    <n v="5"/>
    <b v="1"/>
    <b v="0"/>
    <b v="1"/>
    <b v="1"/>
    <b v="1"/>
    <b v="1"/>
    <b v="1"/>
    <b v="0"/>
    <b v="0"/>
    <b v="0"/>
    <b v="0"/>
    <s v="1-3層"/>
    <x v="0"/>
  </r>
  <r>
    <s v="台北市"/>
    <x v="0"/>
    <s v="雅房"/>
    <n v="6900"/>
    <n v="1"/>
    <n v="0"/>
    <b v="1"/>
    <b v="1"/>
    <b v="0"/>
    <b v="0"/>
    <s v="公寓"/>
    <n v="5.6"/>
    <n v="4"/>
    <n v="5"/>
    <b v="1"/>
    <b v="0"/>
    <b v="0"/>
    <b v="1"/>
    <b v="1"/>
    <b v="1"/>
    <b v="1"/>
    <b v="0"/>
    <b v="0"/>
    <b v="0"/>
    <b v="0"/>
    <s v="4-8層"/>
    <x v="0"/>
  </r>
  <r>
    <s v="台北市"/>
    <x v="1"/>
    <s v="整層住家"/>
    <n v="68000"/>
    <n v="5"/>
    <n v="3"/>
    <b v="1"/>
    <b v="0"/>
    <b v="1"/>
    <b v="0"/>
    <s v="電梯大樓"/>
    <n v="60"/>
    <n v="25"/>
    <n v="30"/>
    <b v="1"/>
    <b v="1"/>
    <b v="1"/>
    <b v="1"/>
    <b v="1"/>
    <b v="1"/>
    <b v="0"/>
    <b v="1"/>
    <b v="1"/>
    <b v="1"/>
    <b v="1"/>
    <s v="9層以上"/>
    <x v="1"/>
  </r>
  <r>
    <s v="台北市"/>
    <x v="2"/>
    <s v="獨立套房"/>
    <n v="17200"/>
    <n v="1"/>
    <n v="1"/>
    <b v="1"/>
    <b v="1"/>
    <b v="1"/>
    <b v="0"/>
    <s v="電梯大樓"/>
    <n v="13"/>
    <n v="11"/>
    <n v="16"/>
    <b v="1"/>
    <b v="1"/>
    <b v="1"/>
    <b v="1"/>
    <b v="1"/>
    <b v="1"/>
    <b v="1"/>
    <b v="0"/>
    <b v="1"/>
    <b v="1"/>
    <b v="1"/>
    <s v="9層以上"/>
    <x v="0"/>
  </r>
  <r>
    <s v="台北市"/>
    <x v="3"/>
    <s v="分租套房"/>
    <n v="11800"/>
    <n v="1"/>
    <n v="1"/>
    <b v="1"/>
    <b v="0"/>
    <b v="0"/>
    <b v="1"/>
    <s v="電梯大樓"/>
    <n v="9.5"/>
    <n v="7"/>
    <n v="10"/>
    <b v="1"/>
    <b v="0"/>
    <b v="1"/>
    <b v="1"/>
    <b v="1"/>
    <b v="1"/>
    <b v="1"/>
    <b v="0"/>
    <b v="1"/>
    <b v="0"/>
    <b v="0"/>
    <s v="4-8層"/>
    <x v="0"/>
  </r>
  <r>
    <s v="台北市"/>
    <x v="4"/>
    <s v="雅房"/>
    <n v="6300"/>
    <n v="1"/>
    <n v="0"/>
    <b v="1"/>
    <b v="1"/>
    <b v="0"/>
    <b v="0"/>
    <s v="公寓"/>
    <n v="5.0999999999999996"/>
    <n v="2"/>
    <n v="4"/>
    <b v="1"/>
    <b v="0"/>
    <b v="0"/>
    <b v="1"/>
    <b v="1"/>
    <b v="1"/>
    <b v="1"/>
    <b v="0"/>
    <b v="0"/>
    <b v="0"/>
    <b v="0"/>
    <s v="1-3層"/>
    <x v="0"/>
  </r>
  <r>
    <s v="台北市"/>
    <x v="5"/>
    <s v="整層住家"/>
    <n v="48000"/>
    <n v="4"/>
    <n v="2"/>
    <b v="0"/>
    <b v="0"/>
    <b v="1"/>
    <b v="0"/>
    <s v="電梯大樓"/>
    <n v="42"/>
    <n v="9"/>
    <n v="15"/>
    <b v="1"/>
    <b v="1"/>
    <b v="1"/>
    <b v="1"/>
    <b v="1"/>
    <b v="1"/>
    <b v="0"/>
    <b v="1"/>
    <b v="1"/>
    <b v="1"/>
    <b v="1"/>
    <s v="9層以上"/>
    <x v="1"/>
  </r>
  <r>
    <s v="台北市"/>
    <x v="6"/>
    <s v="獨立套房"/>
    <n v="15800"/>
    <n v="1"/>
    <n v="1"/>
    <b v="1"/>
    <b v="1"/>
    <b v="0"/>
    <b v="0"/>
    <s v="公寓"/>
    <n v="12"/>
    <n v="4"/>
    <n v="5"/>
    <b v="1"/>
    <b v="1"/>
    <b v="1"/>
    <b v="1"/>
    <b v="1"/>
    <b v="1"/>
    <b v="1"/>
    <b v="0"/>
    <b v="0"/>
    <b v="1"/>
    <b v="1"/>
    <s v="4-8層"/>
    <x v="0"/>
  </r>
  <r>
    <s v="台北市"/>
    <x v="7"/>
    <s v="分租套房"/>
    <n v="8400"/>
    <n v="1"/>
    <n v="1"/>
    <b v="0"/>
    <b v="0"/>
    <b v="1"/>
    <b v="0"/>
    <s v="公寓"/>
    <n v="6.4"/>
    <n v="3"/>
    <n v="5"/>
    <b v="1"/>
    <b v="0"/>
    <b v="1"/>
    <b v="1"/>
    <b v="1"/>
    <b v="1"/>
    <b v="1"/>
    <b v="0"/>
    <b v="0"/>
    <b v="0"/>
    <b v="0"/>
    <s v="1-3層"/>
    <x v="0"/>
  </r>
  <r>
    <s v="台北市"/>
    <x v="8"/>
    <s v="雅房"/>
    <n v="4400"/>
    <n v="1"/>
    <n v="0"/>
    <b v="1"/>
    <b v="1"/>
    <b v="0"/>
    <b v="1"/>
    <s v="公寓"/>
    <n v="3.2"/>
    <n v="1"/>
    <n v="4"/>
    <b v="0"/>
    <b v="0"/>
    <b v="0"/>
    <b v="1"/>
    <b v="1"/>
    <b v="0"/>
    <b v="1"/>
    <b v="0"/>
    <b v="0"/>
    <b v="0"/>
    <b v="0"/>
    <s v="1-3層"/>
    <x v="0"/>
  </r>
  <r>
    <s v="台北市"/>
    <x v="9"/>
    <s v="整層住家"/>
    <n v="27000"/>
    <n v="3"/>
    <n v="2"/>
    <b v="1"/>
    <b v="0"/>
    <b v="0"/>
    <b v="0"/>
    <s v="公寓"/>
    <n v="23"/>
    <n v="2"/>
    <n v="5"/>
    <b v="1"/>
    <b v="1"/>
    <b v="1"/>
    <b v="1"/>
    <b v="1"/>
    <b v="1"/>
    <b v="0"/>
    <b v="0"/>
    <b v="0"/>
    <b v="1"/>
    <b v="1"/>
    <s v="1-3層"/>
    <x v="0"/>
  </r>
  <r>
    <s v="台北市"/>
    <x v="10"/>
    <s v="獨立套房"/>
    <n v="14800"/>
    <n v="1"/>
    <n v="1"/>
    <b v="1"/>
    <b v="1"/>
    <b v="1"/>
    <b v="0"/>
    <s v="電梯大樓"/>
    <n v="11.8"/>
    <n v="8"/>
    <n v="12"/>
    <b v="1"/>
    <b v="1"/>
    <b v="1"/>
    <b v="1"/>
    <b v="1"/>
    <b v="1"/>
    <b v="1"/>
    <b v="0"/>
    <b v="1"/>
    <b v="1"/>
    <b v="1"/>
    <s v="4-8層"/>
    <x v="0"/>
  </r>
  <r>
    <s v="台北市"/>
    <x v="11"/>
    <s v="分租套房"/>
    <n v="9300"/>
    <n v="1"/>
    <n v="1"/>
    <b v="1"/>
    <b v="0"/>
    <b v="0"/>
    <b v="1"/>
    <s v="公寓"/>
    <n v="7.1"/>
    <n v="4"/>
    <n v="5"/>
    <b v="1"/>
    <b v="0"/>
    <b v="1"/>
    <b v="1"/>
    <b v="1"/>
    <b v="1"/>
    <b v="1"/>
    <b v="0"/>
    <b v="0"/>
    <b v="0"/>
    <b v="0"/>
    <s v="4-8層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台北市"/>
    <x v="0"/>
    <s v="獨立套房"/>
    <x v="0"/>
    <n v="1"/>
    <n v="1"/>
    <b v="1"/>
    <b v="1"/>
    <b v="0"/>
    <b v="0"/>
    <s v="電梯大樓"/>
    <n v="8.5"/>
    <n v="5"/>
    <n v="12"/>
    <b v="1"/>
    <b v="1"/>
    <b v="1"/>
    <b v="1"/>
    <b v="1"/>
    <b v="1"/>
    <b v="1"/>
    <x v="0"/>
    <b v="1"/>
    <b v="1"/>
    <b v="1"/>
    <s v="4-8層"/>
    <b v="0"/>
    <x v="0"/>
    <x v="0"/>
  </r>
  <r>
    <s v="台北市"/>
    <x v="1"/>
    <s v="整層住家"/>
    <x v="1"/>
    <n v="3"/>
    <n v="2"/>
    <b v="1"/>
    <b v="0"/>
    <b v="1"/>
    <b v="0"/>
    <s v="公寓"/>
    <n v="28"/>
    <n v="3"/>
    <n v="5"/>
    <b v="1"/>
    <b v="1"/>
    <b v="1"/>
    <b v="1"/>
    <b v="1"/>
    <b v="1"/>
    <b v="0"/>
    <x v="0"/>
    <b v="0"/>
    <b v="1"/>
    <b v="1"/>
    <s v="1-3層"/>
    <b v="0"/>
    <x v="0"/>
    <x v="0"/>
  </r>
  <r>
    <s v="台北市"/>
    <x v="2"/>
    <s v="分租套房"/>
    <x v="2"/>
    <n v="1"/>
    <n v="1"/>
    <b v="1"/>
    <b v="0"/>
    <b v="0"/>
    <b v="1"/>
    <s v="電梯大樓"/>
    <n v="6"/>
    <n v="7"/>
    <n v="10"/>
    <b v="1"/>
    <b v="0"/>
    <b v="1"/>
    <b v="1"/>
    <b v="0"/>
    <b v="1"/>
    <b v="1"/>
    <x v="0"/>
    <b v="1"/>
    <b v="0"/>
    <b v="0"/>
    <s v="4-8層"/>
    <b v="0"/>
    <x v="0"/>
    <x v="0"/>
  </r>
  <r>
    <s v="台北市"/>
    <x v="3"/>
    <s v="雅房"/>
    <x v="3"/>
    <n v="1"/>
    <n v="0"/>
    <b v="0"/>
    <b v="1"/>
    <b v="0"/>
    <b v="0"/>
    <s v="公寓"/>
    <n v="4.5"/>
    <n v="2"/>
    <n v="4"/>
    <b v="1"/>
    <b v="0"/>
    <b v="0"/>
    <b v="1"/>
    <b v="1"/>
    <b v="1"/>
    <b v="1"/>
    <x v="0"/>
    <b v="0"/>
    <b v="0"/>
    <b v="0"/>
    <s v="1-3層"/>
    <b v="0"/>
    <x v="0"/>
    <x v="0"/>
  </r>
  <r>
    <s v="台北市"/>
    <x v="4"/>
    <s v="整層住家"/>
    <x v="4"/>
    <n v="2"/>
    <n v="1"/>
    <b v="1"/>
    <b v="0"/>
    <b v="1"/>
    <b v="0"/>
    <s v="電梯大樓"/>
    <n v="18"/>
    <n v="8"/>
    <n v="15"/>
    <b v="1"/>
    <b v="1"/>
    <b v="1"/>
    <b v="1"/>
    <b v="1"/>
    <b v="1"/>
    <b v="0"/>
    <x v="1"/>
    <b v="1"/>
    <b v="1"/>
    <b v="1"/>
    <s v="4-8層"/>
    <b v="1"/>
    <x v="1"/>
    <x v="1"/>
  </r>
  <r>
    <s v="台北市"/>
    <x v="5"/>
    <s v="獨立套房"/>
    <x v="5"/>
    <n v="1"/>
    <n v="1"/>
    <b v="0"/>
    <b v="1"/>
    <b v="1"/>
    <b v="0"/>
    <s v="電梯大樓"/>
    <n v="10"/>
    <n v="6"/>
    <n v="12"/>
    <b v="1"/>
    <b v="1"/>
    <b v="1"/>
    <b v="1"/>
    <b v="1"/>
    <b v="1"/>
    <b v="1"/>
    <x v="1"/>
    <b v="1"/>
    <b v="1"/>
    <b v="1"/>
    <s v="4-8層"/>
    <b v="1"/>
    <x v="0"/>
    <x v="0"/>
  </r>
  <r>
    <s v="台北市"/>
    <x v="6"/>
    <s v="整層住家"/>
    <x v="6"/>
    <n v="4"/>
    <n v="2"/>
    <b v="0"/>
    <b v="0"/>
    <b v="0"/>
    <b v="0"/>
    <s v="透天厝"/>
    <n v="35"/>
    <n v="1"/>
    <n v="3"/>
    <b v="1"/>
    <b v="1"/>
    <b v="1"/>
    <b v="1"/>
    <b v="1"/>
    <b v="1"/>
    <b v="0"/>
    <x v="1"/>
    <b v="0"/>
    <b v="1"/>
    <b v="1"/>
    <s v="1-3層"/>
    <b v="0"/>
    <x v="1"/>
    <x v="0"/>
  </r>
  <r>
    <s v="台北市"/>
    <x v="7"/>
    <s v="分租套房"/>
    <x v="7"/>
    <n v="1"/>
    <n v="1"/>
    <b v="0"/>
    <b v="1"/>
    <b v="0"/>
    <b v="0"/>
    <s v="公寓"/>
    <n v="5.5"/>
    <n v="4"/>
    <n v="5"/>
    <b v="1"/>
    <b v="0"/>
    <b v="1"/>
    <b v="1"/>
    <b v="1"/>
    <b v="1"/>
    <b v="1"/>
    <x v="0"/>
    <b v="0"/>
    <b v="0"/>
    <b v="0"/>
    <s v="4-8層"/>
    <b v="0"/>
    <x v="0"/>
    <x v="0"/>
  </r>
  <r>
    <s v="台北市"/>
    <x v="8"/>
    <s v="雅房"/>
    <x v="8"/>
    <n v="1"/>
    <n v="0"/>
    <b v="1"/>
    <b v="0"/>
    <b v="1"/>
    <b v="1"/>
    <s v="公寓"/>
    <n v="4"/>
    <n v="3"/>
    <n v="4"/>
    <b v="0"/>
    <b v="0"/>
    <b v="0"/>
    <b v="1"/>
    <b v="1"/>
    <b v="0"/>
    <b v="1"/>
    <x v="0"/>
    <b v="0"/>
    <b v="0"/>
    <b v="0"/>
    <s v="1-3層"/>
    <b v="0"/>
    <x v="0"/>
    <x v="0"/>
  </r>
  <r>
    <s v="台北市"/>
    <x v="9"/>
    <s v="獨立套房"/>
    <x v="9"/>
    <n v="1"/>
    <n v="1"/>
    <b v="1"/>
    <b v="1"/>
    <b v="0"/>
    <b v="0"/>
    <s v="公寓"/>
    <n v="7"/>
    <n v="2"/>
    <n v="5"/>
    <b v="1"/>
    <b v="1"/>
    <b v="1"/>
    <b v="1"/>
    <b v="1"/>
    <b v="1"/>
    <b v="1"/>
    <x v="0"/>
    <b v="0"/>
    <b v="0"/>
    <b v="1"/>
    <s v="1-3層"/>
    <b v="0"/>
    <x v="0"/>
    <x v="0"/>
  </r>
  <r>
    <s v="台北市"/>
    <x v="10"/>
    <s v="整層住家"/>
    <x v="10"/>
    <n v="2"/>
    <n v="1"/>
    <b v="1"/>
    <b v="0"/>
    <b v="1"/>
    <b v="0"/>
    <s v="公寓"/>
    <n v="20"/>
    <n v="3"/>
    <n v="5"/>
    <b v="1"/>
    <b v="1"/>
    <b v="1"/>
    <b v="1"/>
    <b v="1"/>
    <b v="1"/>
    <b v="0"/>
    <x v="0"/>
    <b v="0"/>
    <b v="1"/>
    <b v="1"/>
    <s v="1-3層"/>
    <b v="0"/>
    <x v="1"/>
    <x v="0"/>
  </r>
  <r>
    <s v="台北市"/>
    <x v="11"/>
    <s v="獨立套房"/>
    <x v="11"/>
    <n v="1"/>
    <n v="1"/>
    <b v="1"/>
    <b v="1"/>
    <b v="0"/>
    <b v="0"/>
    <s v="電梯大樓"/>
    <n v="9"/>
    <n v="10"/>
    <n v="15"/>
    <b v="1"/>
    <b v="1"/>
    <b v="1"/>
    <b v="1"/>
    <b v="1"/>
    <b v="1"/>
    <b v="1"/>
    <x v="0"/>
    <b v="1"/>
    <b v="1"/>
    <b v="1"/>
    <s v="9層以上"/>
    <b v="0"/>
    <x v="0"/>
    <x v="0"/>
  </r>
  <r>
    <s v="台北市"/>
    <x v="0"/>
    <s v="整層住家"/>
    <x v="12"/>
    <n v="3"/>
    <n v="2"/>
    <b v="1"/>
    <b v="0"/>
    <b v="0"/>
    <b v="0"/>
    <s v="電梯大樓"/>
    <n v="32"/>
    <n v="7"/>
    <n v="12"/>
    <b v="1"/>
    <b v="1"/>
    <b v="1"/>
    <b v="1"/>
    <b v="1"/>
    <b v="1"/>
    <b v="0"/>
    <x v="0"/>
    <b v="1"/>
    <b v="1"/>
    <b v="1"/>
    <s v="4-8層"/>
    <b v="0"/>
    <x v="1"/>
    <x v="0"/>
  </r>
  <r>
    <s v="台北市"/>
    <x v="1"/>
    <s v="分租套房"/>
    <x v="13"/>
    <n v="1"/>
    <n v="1"/>
    <b v="1"/>
    <b v="1"/>
    <b v="0"/>
    <b v="1"/>
    <s v="電梯大樓"/>
    <n v="7.5"/>
    <n v="5"/>
    <n v="8"/>
    <b v="1"/>
    <b v="0"/>
    <b v="1"/>
    <b v="1"/>
    <b v="1"/>
    <b v="1"/>
    <b v="1"/>
    <x v="0"/>
    <b v="1"/>
    <b v="0"/>
    <b v="0"/>
    <s v="4-8層"/>
    <b v="0"/>
    <x v="0"/>
    <x v="0"/>
  </r>
  <r>
    <s v="台北市"/>
    <x v="2"/>
    <s v="雅房"/>
    <x v="14"/>
    <n v="1"/>
    <n v="0"/>
    <b v="1"/>
    <b v="0"/>
    <b v="0"/>
    <b v="0"/>
    <s v="公寓"/>
    <n v="5"/>
    <n v="1"/>
    <n v="4"/>
    <b v="1"/>
    <b v="0"/>
    <b v="0"/>
    <b v="1"/>
    <b v="1"/>
    <b v="1"/>
    <b v="1"/>
    <x v="0"/>
    <b v="0"/>
    <b v="0"/>
    <b v="0"/>
    <s v="1-3層"/>
    <b v="0"/>
    <x v="0"/>
    <x v="0"/>
  </r>
  <r>
    <s v="台北市"/>
    <x v="3"/>
    <s v="獨立套房"/>
    <x v="15"/>
    <n v="1"/>
    <n v="1"/>
    <b v="1"/>
    <b v="1"/>
    <b v="1"/>
    <b v="0"/>
    <s v="電梯大樓"/>
    <n v="8"/>
    <n v="9"/>
    <n v="14"/>
    <b v="1"/>
    <b v="1"/>
    <b v="1"/>
    <b v="1"/>
    <b v="1"/>
    <b v="1"/>
    <b v="1"/>
    <x v="0"/>
    <b v="1"/>
    <b v="1"/>
    <b v="1"/>
    <s v="9層以上"/>
    <b v="0"/>
    <x v="0"/>
    <x v="0"/>
  </r>
  <r>
    <s v="台北市"/>
    <x v="4"/>
    <s v="整層住家"/>
    <x v="16"/>
    <n v="3"/>
    <n v="2"/>
    <b v="1"/>
    <b v="0"/>
    <b v="1"/>
    <b v="0"/>
    <s v="電梯大樓"/>
    <n v="30"/>
    <n v="12"/>
    <n v="20"/>
    <b v="1"/>
    <b v="1"/>
    <b v="1"/>
    <b v="1"/>
    <b v="1"/>
    <b v="1"/>
    <b v="0"/>
    <x v="1"/>
    <b v="1"/>
    <b v="1"/>
    <b v="1"/>
    <s v="9層以上"/>
    <b v="1"/>
    <x v="1"/>
    <x v="1"/>
  </r>
  <r>
    <s v="台北市"/>
    <x v="5"/>
    <s v="分租套房"/>
    <x v="17"/>
    <n v="1"/>
    <n v="1"/>
    <b v="0"/>
    <b v="0"/>
    <b v="0"/>
    <b v="0"/>
    <s v="公寓"/>
    <n v="6.5"/>
    <n v="3"/>
    <n v="6"/>
    <b v="1"/>
    <b v="0"/>
    <b v="1"/>
    <b v="1"/>
    <b v="1"/>
    <b v="1"/>
    <b v="1"/>
    <x v="0"/>
    <b v="0"/>
    <b v="0"/>
    <b v="0"/>
    <s v="1-3層"/>
    <b v="0"/>
    <x v="0"/>
    <x v="0"/>
  </r>
  <r>
    <s v="台北市"/>
    <x v="6"/>
    <s v="雅房"/>
    <x v="18"/>
    <n v="1"/>
    <n v="0"/>
    <b v="0"/>
    <b v="1"/>
    <b v="0"/>
    <b v="1"/>
    <s v="公寓"/>
    <n v="4.2"/>
    <n v="2"/>
    <n v="4"/>
    <b v="1"/>
    <b v="0"/>
    <b v="0"/>
    <b v="1"/>
    <b v="1"/>
    <b v="1"/>
    <b v="1"/>
    <x v="0"/>
    <b v="0"/>
    <b v="0"/>
    <b v="0"/>
    <s v="1-3層"/>
    <b v="0"/>
    <x v="0"/>
    <x v="0"/>
  </r>
  <r>
    <s v="台北市"/>
    <x v="7"/>
    <s v="獨立套房"/>
    <x v="19"/>
    <n v="1"/>
    <n v="1"/>
    <b v="0"/>
    <b v="0"/>
    <b v="1"/>
    <b v="0"/>
    <s v="公寓"/>
    <n v="7.8"/>
    <n v="4"/>
    <n v="5"/>
    <b v="1"/>
    <b v="1"/>
    <b v="1"/>
    <b v="1"/>
    <b v="1"/>
    <b v="1"/>
    <b v="1"/>
    <x v="0"/>
    <b v="0"/>
    <b v="1"/>
    <b v="1"/>
    <s v="4-8層"/>
    <b v="0"/>
    <x v="0"/>
    <x v="0"/>
  </r>
  <r>
    <s v="台北市"/>
    <x v="8"/>
    <s v="整層住家"/>
    <x v="20"/>
    <n v="2"/>
    <n v="1"/>
    <b v="1"/>
    <b v="1"/>
    <b v="0"/>
    <b v="0"/>
    <s v="公寓"/>
    <n v="22"/>
    <n v="2"/>
    <n v="4"/>
    <b v="1"/>
    <b v="1"/>
    <b v="1"/>
    <b v="1"/>
    <b v="1"/>
    <b v="1"/>
    <b v="0"/>
    <x v="0"/>
    <b v="0"/>
    <b v="1"/>
    <b v="1"/>
    <s v="1-3層"/>
    <b v="0"/>
    <x v="1"/>
    <x v="0"/>
  </r>
  <r>
    <s v="台北市"/>
    <x v="9"/>
    <s v="分租套房"/>
    <x v="21"/>
    <n v="1"/>
    <n v="1"/>
    <b v="1"/>
    <b v="0"/>
    <b v="0"/>
    <b v="0"/>
    <s v="公寓"/>
    <n v="5.8"/>
    <n v="1"/>
    <n v="5"/>
    <b v="1"/>
    <b v="0"/>
    <b v="1"/>
    <b v="1"/>
    <b v="1"/>
    <b v="1"/>
    <b v="1"/>
    <x v="0"/>
    <b v="0"/>
    <b v="0"/>
    <b v="0"/>
    <s v="1-3層"/>
    <b v="0"/>
    <x v="0"/>
    <x v="0"/>
  </r>
  <r>
    <s v="台北市"/>
    <x v="10"/>
    <s v="雅房"/>
    <x v="22"/>
    <n v="1"/>
    <n v="0"/>
    <b v="1"/>
    <b v="1"/>
    <b v="0"/>
    <b v="1"/>
    <s v="公寓"/>
    <n v="3.8"/>
    <n v="3"/>
    <n v="5"/>
    <b v="0"/>
    <b v="0"/>
    <b v="0"/>
    <b v="1"/>
    <b v="1"/>
    <b v="0"/>
    <b v="1"/>
    <x v="0"/>
    <b v="0"/>
    <b v="0"/>
    <b v="0"/>
    <s v="1-3層"/>
    <b v="0"/>
    <x v="0"/>
    <x v="0"/>
  </r>
  <r>
    <s v="台北市"/>
    <x v="11"/>
    <s v="整層住家"/>
    <x v="23"/>
    <n v="2"/>
    <n v="1"/>
    <b v="1"/>
    <b v="0"/>
    <b v="1"/>
    <b v="0"/>
    <s v="電梯大樓"/>
    <n v="25"/>
    <n v="8"/>
    <n v="12"/>
    <b v="1"/>
    <b v="1"/>
    <b v="1"/>
    <b v="1"/>
    <b v="1"/>
    <b v="1"/>
    <b v="0"/>
    <x v="1"/>
    <b v="1"/>
    <b v="1"/>
    <b v="1"/>
    <s v="4-8層"/>
    <b v="1"/>
    <x v="1"/>
    <x v="1"/>
  </r>
  <r>
    <s v="台北市"/>
    <x v="0"/>
    <s v="獨立套房"/>
    <x v="24"/>
    <n v="1"/>
    <n v="1"/>
    <b v="1"/>
    <b v="1"/>
    <b v="0"/>
    <b v="0"/>
    <s v="電梯大樓"/>
    <n v="11"/>
    <n v="6"/>
    <n v="10"/>
    <b v="1"/>
    <b v="1"/>
    <b v="1"/>
    <b v="1"/>
    <b v="1"/>
    <b v="1"/>
    <b v="1"/>
    <x v="0"/>
    <b v="1"/>
    <b v="1"/>
    <b v="1"/>
    <s v="4-8層"/>
    <b v="0"/>
    <x v="0"/>
    <x v="0"/>
  </r>
  <r>
    <s v="台北市"/>
    <x v="1"/>
    <s v="整層住家"/>
    <x v="25"/>
    <n v="4"/>
    <n v="2"/>
    <b v="1"/>
    <b v="0"/>
    <b v="1"/>
    <b v="0"/>
    <s v="電梯大樓"/>
    <n v="38"/>
    <n v="15"/>
    <n v="20"/>
    <b v="1"/>
    <b v="1"/>
    <b v="1"/>
    <b v="1"/>
    <b v="1"/>
    <b v="1"/>
    <b v="0"/>
    <x v="1"/>
    <b v="1"/>
    <b v="1"/>
    <b v="1"/>
    <s v="9層以上"/>
    <b v="1"/>
    <x v="0"/>
    <x v="0"/>
  </r>
  <r>
    <s v="台北市"/>
    <x v="2"/>
    <s v="分租套房"/>
    <x v="26"/>
    <n v="1"/>
    <n v="1"/>
    <b v="1"/>
    <b v="1"/>
    <b v="0"/>
    <b v="1"/>
    <s v="電梯大樓"/>
    <n v="8.1999999999999993"/>
    <n v="4"/>
    <n v="8"/>
    <b v="1"/>
    <b v="0"/>
    <b v="1"/>
    <b v="1"/>
    <b v="1"/>
    <b v="1"/>
    <b v="1"/>
    <x v="0"/>
    <b v="1"/>
    <b v="0"/>
    <b v="0"/>
    <s v="4-8層"/>
    <b v="0"/>
    <x v="0"/>
    <x v="0"/>
  </r>
  <r>
    <s v="台北市"/>
    <x v="3"/>
    <s v="雅房"/>
    <x v="27"/>
    <n v="1"/>
    <n v="0"/>
    <b v="0"/>
    <b v="0"/>
    <b v="1"/>
    <b v="0"/>
    <s v="公寓"/>
    <n v="4.8"/>
    <n v="2"/>
    <n v="4"/>
    <b v="1"/>
    <b v="0"/>
    <b v="0"/>
    <b v="1"/>
    <b v="1"/>
    <b v="1"/>
    <b v="1"/>
    <x v="0"/>
    <b v="0"/>
    <b v="0"/>
    <b v="0"/>
    <s v="1-3層"/>
    <b v="0"/>
    <x v="0"/>
    <x v="0"/>
  </r>
  <r>
    <s v="台北市"/>
    <x v="4"/>
    <s v="獨立套房"/>
    <x v="28"/>
    <n v="1"/>
    <n v="1"/>
    <b v="1"/>
    <b v="1"/>
    <b v="0"/>
    <b v="0"/>
    <s v="電梯大樓"/>
    <n v="9.5"/>
    <n v="7"/>
    <n v="12"/>
    <b v="1"/>
    <b v="1"/>
    <b v="1"/>
    <b v="1"/>
    <b v="1"/>
    <b v="1"/>
    <b v="1"/>
    <x v="0"/>
    <b v="1"/>
    <b v="1"/>
    <b v="1"/>
    <s v="4-8層"/>
    <b v="0"/>
    <x v="0"/>
    <x v="0"/>
  </r>
  <r>
    <s v="台北市"/>
    <x v="5"/>
    <s v="整層住家"/>
    <x v="29"/>
    <n v="3"/>
    <n v="2"/>
    <b v="0"/>
    <b v="0"/>
    <b v="1"/>
    <b v="0"/>
    <s v="電梯大樓"/>
    <n v="29"/>
    <n v="5"/>
    <n v="10"/>
    <b v="1"/>
    <b v="1"/>
    <b v="1"/>
    <b v="1"/>
    <b v="1"/>
    <b v="1"/>
    <b v="0"/>
    <x v="1"/>
    <b v="1"/>
    <b v="1"/>
    <b v="1"/>
    <s v="4-8層"/>
    <b v="1"/>
    <x v="0"/>
    <x v="0"/>
  </r>
  <r>
    <s v="台北市"/>
    <x v="6"/>
    <s v="分租套房"/>
    <x v="30"/>
    <n v="1"/>
    <n v="1"/>
    <b v="1"/>
    <b v="1"/>
    <b v="0"/>
    <b v="0"/>
    <s v="公寓"/>
    <n v="6.2"/>
    <n v="3"/>
    <n v="5"/>
    <b v="1"/>
    <b v="0"/>
    <b v="1"/>
    <b v="1"/>
    <b v="1"/>
    <b v="1"/>
    <b v="1"/>
    <x v="0"/>
    <b v="0"/>
    <b v="0"/>
    <b v="0"/>
    <s v="1-3層"/>
    <b v="0"/>
    <x v="0"/>
    <x v="0"/>
  </r>
  <r>
    <s v="台北市"/>
    <x v="7"/>
    <s v="雅房"/>
    <x v="31"/>
    <n v="1"/>
    <n v="0"/>
    <b v="0"/>
    <b v="0"/>
    <b v="0"/>
    <b v="1"/>
    <s v="公寓"/>
    <n v="4.0999999999999996"/>
    <n v="1"/>
    <n v="4"/>
    <b v="0"/>
    <b v="0"/>
    <b v="0"/>
    <b v="1"/>
    <b v="1"/>
    <b v="1"/>
    <b v="1"/>
    <x v="0"/>
    <b v="0"/>
    <b v="0"/>
    <b v="0"/>
    <s v="1-3層"/>
    <b v="0"/>
    <x v="0"/>
    <x v="0"/>
  </r>
  <r>
    <s v="台北市"/>
    <x v="8"/>
    <s v="獨立套房"/>
    <x v="13"/>
    <n v="1"/>
    <n v="1"/>
    <b v="1"/>
    <b v="1"/>
    <b v="1"/>
    <b v="0"/>
    <s v="公寓"/>
    <n v="8.8000000000000007"/>
    <n v="2"/>
    <n v="4"/>
    <b v="1"/>
    <b v="1"/>
    <b v="1"/>
    <b v="1"/>
    <b v="1"/>
    <b v="1"/>
    <b v="1"/>
    <x v="0"/>
    <b v="0"/>
    <b v="1"/>
    <b v="1"/>
    <s v="1-3層"/>
    <b v="0"/>
    <x v="0"/>
    <x v="0"/>
  </r>
  <r>
    <s v="台北市"/>
    <x v="9"/>
    <s v="整層住家"/>
    <x v="32"/>
    <n v="1"/>
    <n v="1"/>
    <b v="1"/>
    <b v="0"/>
    <b v="0"/>
    <b v="0"/>
    <s v="公寓"/>
    <n v="15"/>
    <n v="3"/>
    <n v="5"/>
    <b v="1"/>
    <b v="1"/>
    <b v="1"/>
    <b v="1"/>
    <b v="1"/>
    <b v="1"/>
    <b v="0"/>
    <x v="0"/>
    <b v="0"/>
    <b v="1"/>
    <b v="1"/>
    <s v="1-3層"/>
    <b v="0"/>
    <x v="0"/>
    <x v="0"/>
  </r>
  <r>
    <s v="台北市"/>
    <x v="10"/>
    <s v="分租套房"/>
    <x v="33"/>
    <n v="1"/>
    <n v="1"/>
    <b v="1"/>
    <b v="1"/>
    <b v="0"/>
    <b v="0"/>
    <s v="公寓"/>
    <n v="5.6"/>
    <n v="4"/>
    <n v="5"/>
    <b v="1"/>
    <b v="0"/>
    <b v="1"/>
    <b v="1"/>
    <b v="1"/>
    <b v="1"/>
    <b v="1"/>
    <x v="0"/>
    <b v="0"/>
    <b v="0"/>
    <b v="0"/>
    <s v="4-8層"/>
    <b v="0"/>
    <x v="0"/>
    <x v="0"/>
  </r>
  <r>
    <s v="台北市"/>
    <x v="11"/>
    <s v="雅房"/>
    <x v="34"/>
    <n v="1"/>
    <n v="0"/>
    <b v="0"/>
    <b v="0"/>
    <b v="1"/>
    <b v="1"/>
    <s v="公寓"/>
    <n v="4.3"/>
    <n v="2"/>
    <n v="4"/>
    <b v="1"/>
    <b v="0"/>
    <b v="0"/>
    <b v="1"/>
    <b v="1"/>
    <b v="1"/>
    <b v="1"/>
    <x v="0"/>
    <b v="0"/>
    <b v="0"/>
    <b v="0"/>
    <s v="1-3層"/>
    <b v="0"/>
    <x v="0"/>
    <x v="0"/>
  </r>
  <r>
    <s v="台北市"/>
    <x v="0"/>
    <s v="整層住家"/>
    <x v="35"/>
    <n v="4"/>
    <n v="2"/>
    <b v="1"/>
    <b v="0"/>
    <b v="0"/>
    <b v="0"/>
    <s v="電梯大樓"/>
    <n v="40"/>
    <n v="10"/>
    <n v="15"/>
    <b v="1"/>
    <b v="1"/>
    <b v="1"/>
    <b v="1"/>
    <b v="1"/>
    <b v="1"/>
    <b v="0"/>
    <x v="1"/>
    <b v="1"/>
    <b v="1"/>
    <b v="1"/>
    <s v="9層以上"/>
    <b v="1"/>
    <x v="1"/>
    <x v="1"/>
  </r>
  <r>
    <s v="台北市"/>
    <x v="1"/>
    <s v="獨立套房"/>
    <x v="36"/>
    <n v="1"/>
    <n v="1"/>
    <b v="1"/>
    <b v="1"/>
    <b v="1"/>
    <b v="0"/>
    <s v="電梯大樓"/>
    <n v="12"/>
    <n v="8"/>
    <n v="12"/>
    <b v="1"/>
    <b v="1"/>
    <b v="1"/>
    <b v="1"/>
    <b v="1"/>
    <b v="1"/>
    <b v="1"/>
    <x v="0"/>
    <b v="1"/>
    <b v="1"/>
    <b v="1"/>
    <s v="4-8層"/>
    <b v="0"/>
    <x v="0"/>
    <x v="0"/>
  </r>
  <r>
    <s v="台北市"/>
    <x v="2"/>
    <s v="分租套房"/>
    <x v="37"/>
    <n v="1"/>
    <n v="1"/>
    <b v="1"/>
    <b v="0"/>
    <b v="0"/>
    <b v="1"/>
    <s v="電梯大樓"/>
    <n v="7.2"/>
    <n v="6"/>
    <n v="9"/>
    <b v="1"/>
    <b v="0"/>
    <b v="1"/>
    <b v="1"/>
    <b v="1"/>
    <b v="1"/>
    <b v="1"/>
    <x v="0"/>
    <b v="1"/>
    <b v="0"/>
    <b v="0"/>
    <s v="4-8層"/>
    <b v="0"/>
    <x v="0"/>
    <x v="0"/>
  </r>
  <r>
    <s v="台北市"/>
    <x v="3"/>
    <s v="雅房"/>
    <x v="38"/>
    <n v="1"/>
    <n v="0"/>
    <b v="1"/>
    <b v="1"/>
    <b v="0"/>
    <b v="0"/>
    <s v="公寓"/>
    <n v="5.2"/>
    <n v="1"/>
    <n v="4"/>
    <b v="1"/>
    <b v="0"/>
    <b v="0"/>
    <b v="1"/>
    <b v="1"/>
    <b v="1"/>
    <b v="1"/>
    <x v="0"/>
    <b v="0"/>
    <b v="0"/>
    <b v="0"/>
    <s v="1-3層"/>
    <b v="0"/>
    <x v="0"/>
    <x v="0"/>
  </r>
  <r>
    <s v="台北市"/>
    <x v="4"/>
    <s v="整層住家"/>
    <x v="6"/>
    <n v="2"/>
    <n v="1"/>
    <b v="1"/>
    <b v="0"/>
    <b v="1"/>
    <b v="0"/>
    <s v="電梯大樓"/>
    <n v="26"/>
    <n v="9"/>
    <n v="14"/>
    <b v="1"/>
    <b v="1"/>
    <b v="1"/>
    <b v="1"/>
    <b v="1"/>
    <b v="1"/>
    <b v="0"/>
    <x v="1"/>
    <b v="1"/>
    <b v="1"/>
    <b v="1"/>
    <s v="9層以上"/>
    <b v="1"/>
    <x v="1"/>
    <x v="1"/>
  </r>
  <r>
    <s v="台北市"/>
    <x v="5"/>
    <s v="獨立套房"/>
    <x v="39"/>
    <n v="1"/>
    <n v="1"/>
    <b v="0"/>
    <b v="1"/>
    <b v="0"/>
    <b v="0"/>
    <s v="電梯大樓"/>
    <n v="9.1999999999999993"/>
    <n v="4"/>
    <n v="8"/>
    <b v="1"/>
    <b v="1"/>
    <b v="1"/>
    <b v="1"/>
    <b v="1"/>
    <b v="1"/>
    <b v="1"/>
    <x v="0"/>
    <b v="1"/>
    <b v="1"/>
    <b v="1"/>
    <s v="4-8層"/>
    <b v="0"/>
    <x v="0"/>
    <x v="0"/>
  </r>
  <r>
    <s v="台北市"/>
    <x v="6"/>
    <s v="整層住家"/>
    <x v="4"/>
    <n v="3"/>
    <n v="2"/>
    <b v="1"/>
    <b v="0"/>
    <b v="1"/>
    <b v="0"/>
    <s v="透天厝"/>
    <n v="32"/>
    <n v="1"/>
    <n v="3"/>
    <b v="1"/>
    <b v="1"/>
    <b v="1"/>
    <b v="1"/>
    <b v="1"/>
    <b v="1"/>
    <b v="0"/>
    <x v="1"/>
    <b v="0"/>
    <b v="1"/>
    <b v="1"/>
    <s v="1-3層"/>
    <b v="0"/>
    <x v="1"/>
    <x v="0"/>
  </r>
  <r>
    <s v="台北市"/>
    <x v="7"/>
    <s v="分租套房"/>
    <x v="40"/>
    <n v="1"/>
    <n v="1"/>
    <b v="0"/>
    <b v="1"/>
    <b v="0"/>
    <b v="0"/>
    <s v="公寓"/>
    <n v="6.8"/>
    <n v="3"/>
    <n v="5"/>
    <b v="1"/>
    <b v="0"/>
    <b v="1"/>
    <b v="1"/>
    <b v="1"/>
    <b v="1"/>
    <b v="1"/>
    <x v="0"/>
    <b v="0"/>
    <b v="0"/>
    <b v="0"/>
    <s v="1-3層"/>
    <b v="0"/>
    <x v="0"/>
    <x v="0"/>
  </r>
  <r>
    <s v="台北市"/>
    <x v="8"/>
    <s v="雅房"/>
    <x v="41"/>
    <n v="1"/>
    <n v="0"/>
    <b v="1"/>
    <b v="0"/>
    <b v="0"/>
    <b v="1"/>
    <s v="公寓"/>
    <n v="3.9"/>
    <n v="2"/>
    <n v="4"/>
    <b v="0"/>
    <b v="0"/>
    <b v="0"/>
    <b v="1"/>
    <b v="1"/>
    <b v="0"/>
    <b v="1"/>
    <x v="0"/>
    <b v="0"/>
    <b v="0"/>
    <b v="0"/>
    <s v="1-3層"/>
    <b v="0"/>
    <x v="0"/>
    <x v="0"/>
  </r>
  <r>
    <s v="台北市"/>
    <x v="9"/>
    <s v="獨立套房"/>
    <x v="42"/>
    <n v="1"/>
    <n v="1"/>
    <b v="1"/>
    <b v="1"/>
    <b v="1"/>
    <b v="0"/>
    <s v="公寓"/>
    <n v="8.5"/>
    <n v="2"/>
    <n v="5"/>
    <b v="1"/>
    <b v="1"/>
    <b v="1"/>
    <b v="1"/>
    <b v="1"/>
    <b v="1"/>
    <b v="1"/>
    <x v="0"/>
    <b v="0"/>
    <b v="1"/>
    <b v="1"/>
    <s v="1-3層"/>
    <b v="0"/>
    <x v="0"/>
    <x v="0"/>
  </r>
  <r>
    <s v="台北市"/>
    <x v="10"/>
    <s v="整層住家"/>
    <x v="43"/>
    <n v="2"/>
    <n v="1"/>
    <b v="1"/>
    <b v="0"/>
    <b v="0"/>
    <b v="0"/>
    <s v="公寓"/>
    <n v="21"/>
    <n v="4"/>
    <n v="5"/>
    <b v="1"/>
    <b v="1"/>
    <b v="1"/>
    <b v="1"/>
    <b v="1"/>
    <b v="1"/>
    <b v="0"/>
    <x v="0"/>
    <b v="0"/>
    <b v="1"/>
    <b v="1"/>
    <s v="4-8層"/>
    <b v="0"/>
    <x v="1"/>
    <x v="0"/>
  </r>
  <r>
    <s v="台北市"/>
    <x v="11"/>
    <s v="分租套房"/>
    <x v="44"/>
    <n v="1"/>
    <n v="1"/>
    <b v="1"/>
    <b v="1"/>
    <b v="0"/>
    <b v="0"/>
    <s v="電梯大樓"/>
    <n v="7"/>
    <n v="5"/>
    <n v="10"/>
    <b v="1"/>
    <b v="0"/>
    <b v="1"/>
    <b v="1"/>
    <b v="1"/>
    <b v="1"/>
    <b v="1"/>
    <x v="0"/>
    <b v="1"/>
    <b v="0"/>
    <b v="0"/>
    <s v="4-8層"/>
    <b v="0"/>
    <x v="0"/>
    <x v="0"/>
  </r>
  <r>
    <s v="台北市"/>
    <x v="0"/>
    <s v="雅房"/>
    <x v="45"/>
    <n v="1"/>
    <n v="0"/>
    <b v="1"/>
    <b v="0"/>
    <b v="0"/>
    <b v="1"/>
    <s v="公寓"/>
    <n v="5.5"/>
    <n v="3"/>
    <n v="5"/>
    <b v="1"/>
    <b v="0"/>
    <b v="0"/>
    <b v="1"/>
    <b v="1"/>
    <b v="1"/>
    <b v="1"/>
    <x v="0"/>
    <b v="0"/>
    <b v="0"/>
    <b v="0"/>
    <s v="1-3層"/>
    <b v="0"/>
    <x v="0"/>
    <x v="0"/>
  </r>
  <r>
    <s v="台北市"/>
    <x v="1"/>
    <s v="整層住家"/>
    <x v="46"/>
    <n v="4"/>
    <n v="3"/>
    <b v="1"/>
    <b v="0"/>
    <b v="1"/>
    <b v="0"/>
    <s v="電梯大樓"/>
    <n v="45"/>
    <n v="18"/>
    <n v="25"/>
    <b v="1"/>
    <b v="1"/>
    <b v="1"/>
    <b v="1"/>
    <b v="1"/>
    <b v="1"/>
    <b v="0"/>
    <x v="1"/>
    <b v="1"/>
    <b v="1"/>
    <b v="1"/>
    <s v="9層以上"/>
    <b v="1"/>
    <x v="0"/>
    <x v="0"/>
  </r>
  <r>
    <s v="台北市"/>
    <x v="2"/>
    <s v="獨立套房"/>
    <x v="47"/>
    <n v="1"/>
    <n v="1"/>
    <b v="1"/>
    <b v="1"/>
    <b v="0"/>
    <b v="0"/>
    <s v="電梯大樓"/>
    <n v="10.5"/>
    <n v="7"/>
    <n v="11"/>
    <b v="1"/>
    <b v="1"/>
    <b v="1"/>
    <b v="1"/>
    <b v="1"/>
    <b v="1"/>
    <b v="1"/>
    <x v="0"/>
    <b v="1"/>
    <b v="1"/>
    <b v="1"/>
    <s v="4-8層"/>
    <b v="0"/>
    <x v="0"/>
    <x v="0"/>
  </r>
  <r>
    <s v="台北市"/>
    <x v="3"/>
    <s v="分租套房"/>
    <x v="48"/>
    <n v="1"/>
    <n v="1"/>
    <b v="1"/>
    <b v="0"/>
    <b v="1"/>
    <b v="1"/>
    <s v="電梯大樓"/>
    <n v="8"/>
    <n v="4"/>
    <n v="7"/>
    <b v="1"/>
    <b v="0"/>
    <b v="1"/>
    <b v="1"/>
    <b v="1"/>
    <b v="1"/>
    <b v="1"/>
    <x v="0"/>
    <b v="1"/>
    <b v="0"/>
    <b v="0"/>
    <s v="4-8層"/>
    <b v="0"/>
    <x v="0"/>
    <x v="0"/>
  </r>
  <r>
    <s v="台北市"/>
    <x v="4"/>
    <s v="雅房"/>
    <x v="49"/>
    <n v="1"/>
    <n v="0"/>
    <b v="1"/>
    <b v="1"/>
    <b v="0"/>
    <b v="0"/>
    <s v="公寓"/>
    <n v="4.5999999999999996"/>
    <n v="2"/>
    <n v="4"/>
    <b v="1"/>
    <b v="0"/>
    <b v="0"/>
    <b v="1"/>
    <b v="1"/>
    <b v="1"/>
    <b v="1"/>
    <x v="0"/>
    <b v="0"/>
    <b v="0"/>
    <b v="0"/>
    <s v="1-3層"/>
    <b v="0"/>
    <x v="0"/>
    <x v="0"/>
  </r>
  <r>
    <s v="台北市"/>
    <x v="5"/>
    <s v="整層住家"/>
    <x v="50"/>
    <n v="3"/>
    <n v="2"/>
    <b v="0"/>
    <b v="0"/>
    <b v="1"/>
    <b v="0"/>
    <s v="電梯大樓"/>
    <n v="31"/>
    <n v="6"/>
    <n v="12"/>
    <b v="1"/>
    <b v="1"/>
    <b v="1"/>
    <b v="1"/>
    <b v="1"/>
    <b v="1"/>
    <b v="0"/>
    <x v="1"/>
    <b v="1"/>
    <b v="1"/>
    <b v="1"/>
    <s v="4-8層"/>
    <b v="1"/>
    <x v="0"/>
    <x v="0"/>
  </r>
  <r>
    <s v="台北市"/>
    <x v="6"/>
    <s v="獨立套房"/>
    <x v="51"/>
    <n v="1"/>
    <n v="1"/>
    <b v="1"/>
    <b v="1"/>
    <b v="0"/>
    <b v="0"/>
    <s v="公寓"/>
    <n v="9.8000000000000007"/>
    <n v="3"/>
    <n v="5"/>
    <b v="1"/>
    <b v="1"/>
    <b v="1"/>
    <b v="1"/>
    <b v="1"/>
    <b v="1"/>
    <b v="1"/>
    <x v="0"/>
    <b v="0"/>
    <b v="1"/>
    <b v="1"/>
    <s v="1-3層"/>
    <b v="0"/>
    <x v="0"/>
    <x v="0"/>
  </r>
  <r>
    <s v="台北市"/>
    <x v="7"/>
    <s v="分租套房"/>
    <x v="52"/>
    <n v="1"/>
    <n v="1"/>
    <b v="0"/>
    <b v="0"/>
    <b v="0"/>
    <b v="0"/>
    <s v="公寓"/>
    <n v="6.3"/>
    <n v="4"/>
    <n v="5"/>
    <b v="1"/>
    <b v="0"/>
    <b v="1"/>
    <b v="1"/>
    <b v="1"/>
    <b v="1"/>
    <b v="1"/>
    <x v="0"/>
    <b v="0"/>
    <b v="0"/>
    <b v="0"/>
    <s v="4-8層"/>
    <b v="0"/>
    <x v="0"/>
    <x v="0"/>
  </r>
  <r>
    <s v="台北市"/>
    <x v="8"/>
    <s v="雅房"/>
    <x v="53"/>
    <n v="1"/>
    <n v="0"/>
    <b v="1"/>
    <b v="1"/>
    <b v="1"/>
    <b v="1"/>
    <s v="公寓"/>
    <n v="3.7"/>
    <n v="1"/>
    <n v="4"/>
    <b v="0"/>
    <b v="0"/>
    <b v="0"/>
    <b v="1"/>
    <b v="1"/>
    <b v="0"/>
    <b v="1"/>
    <x v="0"/>
    <b v="0"/>
    <b v="0"/>
    <b v="0"/>
    <s v="1-3層"/>
    <b v="0"/>
    <x v="0"/>
    <x v="0"/>
  </r>
  <r>
    <s v="台北市"/>
    <x v="9"/>
    <s v="整層住家"/>
    <x v="54"/>
    <n v="1"/>
    <n v="1"/>
    <b v="1"/>
    <b v="0"/>
    <b v="0"/>
    <b v="0"/>
    <s v="公寓"/>
    <n v="16"/>
    <n v="2"/>
    <n v="5"/>
    <b v="1"/>
    <b v="1"/>
    <b v="1"/>
    <b v="1"/>
    <b v="1"/>
    <b v="1"/>
    <b v="0"/>
    <x v="0"/>
    <b v="0"/>
    <b v="1"/>
    <b v="1"/>
    <s v="1-3層"/>
    <b v="0"/>
    <x v="0"/>
    <x v="0"/>
  </r>
  <r>
    <s v="台北市"/>
    <x v="10"/>
    <s v="獨立套房"/>
    <x v="55"/>
    <n v="1"/>
    <n v="1"/>
    <b v="1"/>
    <b v="1"/>
    <b v="0"/>
    <b v="0"/>
    <s v="電梯大樓"/>
    <n v="9"/>
    <n v="5"/>
    <n v="8"/>
    <b v="1"/>
    <b v="1"/>
    <b v="1"/>
    <b v="1"/>
    <b v="1"/>
    <b v="1"/>
    <b v="1"/>
    <x v="0"/>
    <b v="1"/>
    <b v="1"/>
    <b v="1"/>
    <s v="4-8層"/>
    <b v="0"/>
    <x v="0"/>
    <x v="0"/>
  </r>
  <r>
    <s v="台北市"/>
    <x v="11"/>
    <s v="分租套房"/>
    <x v="56"/>
    <n v="1"/>
    <n v="1"/>
    <b v="1"/>
    <b v="0"/>
    <b v="0"/>
    <b v="1"/>
    <s v="公寓"/>
    <n v="6.5"/>
    <n v="3"/>
    <n v="5"/>
    <b v="1"/>
    <b v="0"/>
    <b v="1"/>
    <b v="1"/>
    <b v="1"/>
    <b v="1"/>
    <b v="1"/>
    <x v="0"/>
    <b v="0"/>
    <b v="0"/>
    <b v="0"/>
    <s v="1-3層"/>
    <b v="0"/>
    <x v="0"/>
    <x v="0"/>
  </r>
  <r>
    <s v="台北市"/>
    <x v="0"/>
    <s v="雅房"/>
    <x v="57"/>
    <n v="1"/>
    <n v="0"/>
    <b v="1"/>
    <b v="1"/>
    <b v="0"/>
    <b v="0"/>
    <s v="公寓"/>
    <n v="5.8"/>
    <n v="4"/>
    <n v="5"/>
    <b v="1"/>
    <b v="0"/>
    <b v="0"/>
    <b v="1"/>
    <b v="1"/>
    <b v="1"/>
    <b v="1"/>
    <x v="0"/>
    <b v="0"/>
    <b v="0"/>
    <b v="0"/>
    <s v="4-8層"/>
    <b v="0"/>
    <x v="0"/>
    <x v="0"/>
  </r>
  <r>
    <s v="台北市"/>
    <x v="1"/>
    <s v="整層住家"/>
    <x v="58"/>
    <n v="5"/>
    <n v="3"/>
    <b v="1"/>
    <b v="0"/>
    <b v="1"/>
    <b v="0"/>
    <s v="電梯大樓"/>
    <n v="50"/>
    <n v="20"/>
    <n v="25"/>
    <b v="1"/>
    <b v="1"/>
    <b v="1"/>
    <b v="1"/>
    <b v="1"/>
    <b v="1"/>
    <b v="0"/>
    <x v="1"/>
    <b v="1"/>
    <b v="1"/>
    <b v="1"/>
    <s v="9層以上"/>
    <b v="1"/>
    <x v="0"/>
    <x v="0"/>
  </r>
  <r>
    <s v="台北市"/>
    <x v="2"/>
    <s v="獨立套房"/>
    <x v="59"/>
    <n v="1"/>
    <n v="1"/>
    <b v="1"/>
    <b v="1"/>
    <b v="1"/>
    <b v="0"/>
    <s v="電梯大樓"/>
    <n v="11.5"/>
    <n v="9"/>
    <n v="13"/>
    <b v="1"/>
    <b v="1"/>
    <b v="1"/>
    <b v="1"/>
    <b v="1"/>
    <b v="1"/>
    <b v="1"/>
    <x v="0"/>
    <b v="1"/>
    <b v="1"/>
    <b v="1"/>
    <s v="9層以上"/>
    <b v="0"/>
    <x v="0"/>
    <x v="0"/>
  </r>
  <r>
    <s v="台北市"/>
    <x v="3"/>
    <s v="分租套房"/>
    <x v="42"/>
    <n v="1"/>
    <n v="1"/>
    <b v="1"/>
    <b v="0"/>
    <b v="0"/>
    <b v="1"/>
    <s v="電梯大樓"/>
    <n v="8.5"/>
    <n v="5"/>
    <n v="8"/>
    <b v="1"/>
    <b v="0"/>
    <b v="1"/>
    <b v="1"/>
    <b v="1"/>
    <b v="1"/>
    <b v="1"/>
    <x v="0"/>
    <b v="1"/>
    <b v="0"/>
    <b v="0"/>
    <s v="4-8層"/>
    <b v="0"/>
    <x v="0"/>
    <x v="0"/>
  </r>
  <r>
    <s v="台北市"/>
    <x v="4"/>
    <s v="雅房"/>
    <x v="60"/>
    <n v="1"/>
    <n v="0"/>
    <b v="1"/>
    <b v="1"/>
    <b v="0"/>
    <b v="0"/>
    <s v="公寓"/>
    <n v="4.9000000000000004"/>
    <n v="2"/>
    <n v="4"/>
    <b v="1"/>
    <b v="0"/>
    <b v="0"/>
    <b v="1"/>
    <b v="1"/>
    <b v="1"/>
    <b v="1"/>
    <x v="0"/>
    <b v="0"/>
    <b v="0"/>
    <b v="0"/>
    <s v="1-3層"/>
    <b v="0"/>
    <x v="0"/>
    <x v="0"/>
  </r>
  <r>
    <s v="台北市"/>
    <x v="5"/>
    <s v="整層住家"/>
    <x v="61"/>
    <n v="4"/>
    <n v="2"/>
    <b v="0"/>
    <b v="0"/>
    <b v="1"/>
    <b v="0"/>
    <s v="電梯大樓"/>
    <n v="35"/>
    <n v="7"/>
    <n v="12"/>
    <b v="1"/>
    <b v="1"/>
    <b v="1"/>
    <b v="1"/>
    <b v="1"/>
    <b v="1"/>
    <b v="0"/>
    <x v="1"/>
    <b v="1"/>
    <b v="1"/>
    <b v="1"/>
    <s v="4-8層"/>
    <b v="1"/>
    <x v="0"/>
    <x v="0"/>
  </r>
  <r>
    <s v="台北市"/>
    <x v="6"/>
    <s v="獨立套房"/>
    <x v="28"/>
    <n v="1"/>
    <n v="1"/>
    <b v="1"/>
    <b v="1"/>
    <b v="0"/>
    <b v="0"/>
    <s v="公寓"/>
    <n v="10.199999999999999"/>
    <n v="4"/>
    <n v="5"/>
    <b v="1"/>
    <b v="1"/>
    <b v="1"/>
    <b v="1"/>
    <b v="1"/>
    <b v="1"/>
    <b v="1"/>
    <x v="0"/>
    <b v="0"/>
    <b v="1"/>
    <b v="1"/>
    <s v="4-8層"/>
    <b v="0"/>
    <x v="0"/>
    <x v="0"/>
  </r>
  <r>
    <s v="台北市"/>
    <x v="7"/>
    <s v="分租套房"/>
    <x v="62"/>
    <n v="1"/>
    <n v="1"/>
    <b v="0"/>
    <b v="0"/>
    <b v="1"/>
    <b v="0"/>
    <s v="公寓"/>
    <n v="6"/>
    <n v="3"/>
    <n v="5"/>
    <b v="1"/>
    <b v="0"/>
    <b v="1"/>
    <b v="1"/>
    <b v="1"/>
    <b v="1"/>
    <b v="1"/>
    <x v="0"/>
    <b v="0"/>
    <b v="0"/>
    <b v="0"/>
    <s v="1-3層"/>
    <b v="0"/>
    <x v="0"/>
    <x v="0"/>
  </r>
  <r>
    <s v="台北市"/>
    <x v="8"/>
    <s v="雅房"/>
    <x v="63"/>
    <n v="1"/>
    <n v="0"/>
    <b v="1"/>
    <b v="1"/>
    <b v="0"/>
    <b v="1"/>
    <s v="公寓"/>
    <n v="3.5"/>
    <n v="1"/>
    <n v="4"/>
    <b v="0"/>
    <b v="0"/>
    <b v="0"/>
    <b v="1"/>
    <b v="1"/>
    <b v="0"/>
    <b v="1"/>
    <x v="0"/>
    <b v="0"/>
    <b v="0"/>
    <b v="0"/>
    <s v="1-3層"/>
    <b v="0"/>
    <x v="0"/>
    <x v="0"/>
  </r>
  <r>
    <s v="台北市"/>
    <x v="9"/>
    <s v="整層住家"/>
    <x v="64"/>
    <n v="2"/>
    <n v="1"/>
    <b v="1"/>
    <b v="0"/>
    <b v="0"/>
    <b v="0"/>
    <s v="公寓"/>
    <n v="18"/>
    <n v="3"/>
    <n v="5"/>
    <b v="1"/>
    <b v="1"/>
    <b v="1"/>
    <b v="1"/>
    <b v="1"/>
    <b v="1"/>
    <b v="0"/>
    <x v="0"/>
    <b v="0"/>
    <b v="1"/>
    <b v="1"/>
    <s v="1-3層"/>
    <b v="0"/>
    <x v="0"/>
    <x v="0"/>
  </r>
  <r>
    <s v="台北市"/>
    <x v="10"/>
    <s v="獨立套房"/>
    <x v="65"/>
    <n v="1"/>
    <n v="1"/>
    <b v="1"/>
    <b v="1"/>
    <b v="1"/>
    <b v="0"/>
    <s v="電梯大樓"/>
    <n v="10.8"/>
    <n v="6"/>
    <n v="10"/>
    <b v="1"/>
    <b v="1"/>
    <b v="1"/>
    <b v="1"/>
    <b v="1"/>
    <b v="1"/>
    <b v="1"/>
    <x v="0"/>
    <b v="1"/>
    <b v="1"/>
    <b v="1"/>
    <s v="4-8層"/>
    <b v="0"/>
    <x v="0"/>
    <x v="0"/>
  </r>
  <r>
    <s v="台北市"/>
    <x v="11"/>
    <s v="分租套房"/>
    <x v="66"/>
    <n v="1"/>
    <n v="1"/>
    <b v="1"/>
    <b v="0"/>
    <b v="0"/>
    <b v="1"/>
    <s v="公寓"/>
    <n v="6.7"/>
    <n v="4"/>
    <n v="5"/>
    <b v="1"/>
    <b v="0"/>
    <b v="1"/>
    <b v="1"/>
    <b v="1"/>
    <b v="1"/>
    <b v="1"/>
    <x v="0"/>
    <b v="0"/>
    <b v="0"/>
    <b v="0"/>
    <s v="4-8層"/>
    <b v="0"/>
    <x v="0"/>
    <x v="0"/>
  </r>
  <r>
    <s v="台北市"/>
    <x v="0"/>
    <s v="雅房"/>
    <x v="67"/>
    <n v="1"/>
    <n v="0"/>
    <b v="1"/>
    <b v="1"/>
    <b v="0"/>
    <b v="0"/>
    <s v="公寓"/>
    <n v="5.3"/>
    <n v="3"/>
    <n v="5"/>
    <b v="1"/>
    <b v="0"/>
    <b v="0"/>
    <b v="1"/>
    <b v="1"/>
    <b v="1"/>
    <b v="1"/>
    <x v="0"/>
    <b v="0"/>
    <b v="0"/>
    <b v="0"/>
    <s v="1-3層"/>
    <b v="0"/>
    <x v="0"/>
    <x v="0"/>
  </r>
  <r>
    <s v="台北市"/>
    <x v="1"/>
    <s v="整層住家"/>
    <x v="68"/>
    <n v="5"/>
    <n v="3"/>
    <b v="1"/>
    <b v="0"/>
    <b v="1"/>
    <b v="0"/>
    <s v="電梯大樓"/>
    <n v="55"/>
    <n v="22"/>
    <n v="28"/>
    <b v="1"/>
    <b v="1"/>
    <b v="1"/>
    <b v="1"/>
    <b v="1"/>
    <b v="1"/>
    <b v="0"/>
    <x v="1"/>
    <b v="1"/>
    <b v="1"/>
    <b v="1"/>
    <s v="9層以上"/>
    <b v="1"/>
    <x v="0"/>
    <x v="0"/>
  </r>
  <r>
    <s v="台北市"/>
    <x v="2"/>
    <s v="獨立套房"/>
    <x v="69"/>
    <n v="1"/>
    <n v="1"/>
    <b v="1"/>
    <b v="1"/>
    <b v="0"/>
    <b v="0"/>
    <s v="電梯大樓"/>
    <n v="12.5"/>
    <n v="10"/>
    <n v="15"/>
    <b v="1"/>
    <b v="1"/>
    <b v="1"/>
    <b v="1"/>
    <b v="1"/>
    <b v="1"/>
    <b v="1"/>
    <x v="0"/>
    <b v="1"/>
    <b v="1"/>
    <b v="1"/>
    <s v="9層以上"/>
    <b v="0"/>
    <x v="0"/>
    <x v="0"/>
  </r>
  <r>
    <s v="台北市"/>
    <x v="3"/>
    <s v="分租套房"/>
    <x v="70"/>
    <n v="1"/>
    <n v="1"/>
    <b v="1"/>
    <b v="0"/>
    <b v="1"/>
    <b v="1"/>
    <s v="電梯大樓"/>
    <n v="9"/>
    <n v="6"/>
    <n v="9"/>
    <b v="1"/>
    <b v="0"/>
    <b v="1"/>
    <b v="1"/>
    <b v="1"/>
    <b v="1"/>
    <b v="1"/>
    <x v="0"/>
    <b v="1"/>
    <b v="0"/>
    <b v="0"/>
    <s v="4-8層"/>
    <b v="0"/>
    <x v="0"/>
    <x v="0"/>
  </r>
  <r>
    <s v="台北市"/>
    <x v="4"/>
    <s v="雅房"/>
    <x v="71"/>
    <n v="1"/>
    <n v="0"/>
    <b v="1"/>
    <b v="1"/>
    <b v="0"/>
    <b v="0"/>
    <s v="公寓"/>
    <n v="5"/>
    <n v="2"/>
    <n v="4"/>
    <b v="1"/>
    <b v="0"/>
    <b v="0"/>
    <b v="1"/>
    <b v="1"/>
    <b v="1"/>
    <b v="1"/>
    <x v="0"/>
    <b v="0"/>
    <b v="0"/>
    <b v="0"/>
    <s v="1-3層"/>
    <b v="0"/>
    <x v="0"/>
    <x v="0"/>
  </r>
  <r>
    <s v="台北市"/>
    <x v="5"/>
    <s v="整層住家"/>
    <x v="72"/>
    <n v="4"/>
    <n v="2"/>
    <b v="0"/>
    <b v="0"/>
    <b v="1"/>
    <b v="0"/>
    <s v="電梯大樓"/>
    <n v="38"/>
    <n v="8"/>
    <n v="14"/>
    <b v="1"/>
    <b v="1"/>
    <b v="1"/>
    <b v="1"/>
    <b v="1"/>
    <b v="1"/>
    <b v="0"/>
    <x v="1"/>
    <b v="1"/>
    <b v="1"/>
    <b v="1"/>
    <s v="4-8層"/>
    <b v="1"/>
    <x v="0"/>
    <x v="0"/>
  </r>
  <r>
    <s v="台北市"/>
    <x v="6"/>
    <s v="獨立套房"/>
    <x v="73"/>
    <n v="1"/>
    <n v="1"/>
    <b v="1"/>
    <b v="1"/>
    <b v="0"/>
    <b v="0"/>
    <s v="公寓"/>
    <n v="11.2"/>
    <n v="5"/>
    <n v="5"/>
    <b v="1"/>
    <b v="1"/>
    <b v="1"/>
    <b v="1"/>
    <b v="1"/>
    <b v="1"/>
    <b v="1"/>
    <x v="0"/>
    <b v="0"/>
    <b v="1"/>
    <b v="1"/>
    <s v="4-8層"/>
    <b v="0"/>
    <x v="0"/>
    <x v="0"/>
  </r>
  <r>
    <s v="台北市"/>
    <x v="7"/>
    <s v="分租套房"/>
    <x v="74"/>
    <n v="1"/>
    <n v="1"/>
    <b v="0"/>
    <b v="0"/>
    <b v="0"/>
    <b v="0"/>
    <s v="公寓"/>
    <n v="6.2"/>
    <n v="4"/>
    <n v="5"/>
    <b v="1"/>
    <b v="0"/>
    <b v="1"/>
    <b v="1"/>
    <b v="1"/>
    <b v="1"/>
    <b v="1"/>
    <x v="0"/>
    <b v="0"/>
    <b v="0"/>
    <b v="0"/>
    <s v="4-8層"/>
    <b v="0"/>
    <x v="0"/>
    <x v="0"/>
  </r>
  <r>
    <s v="台北市"/>
    <x v="8"/>
    <s v="雅房"/>
    <x v="75"/>
    <n v="1"/>
    <n v="0"/>
    <b v="1"/>
    <b v="1"/>
    <b v="1"/>
    <b v="1"/>
    <s v="公寓"/>
    <n v="3.3"/>
    <n v="1"/>
    <n v="4"/>
    <b v="0"/>
    <b v="0"/>
    <b v="0"/>
    <b v="1"/>
    <b v="1"/>
    <b v="0"/>
    <b v="1"/>
    <x v="0"/>
    <b v="0"/>
    <b v="0"/>
    <b v="0"/>
    <s v="1-3層"/>
    <b v="0"/>
    <x v="0"/>
    <x v="0"/>
  </r>
  <r>
    <s v="台北市"/>
    <x v="9"/>
    <s v="整層住家"/>
    <x v="76"/>
    <n v="2"/>
    <n v="1"/>
    <b v="1"/>
    <b v="0"/>
    <b v="0"/>
    <b v="0"/>
    <s v="公寓"/>
    <n v="19"/>
    <n v="3"/>
    <n v="5"/>
    <b v="1"/>
    <b v="1"/>
    <b v="1"/>
    <b v="1"/>
    <b v="1"/>
    <b v="1"/>
    <b v="0"/>
    <x v="0"/>
    <b v="0"/>
    <b v="1"/>
    <b v="1"/>
    <s v="1-3層"/>
    <b v="0"/>
    <x v="0"/>
    <x v="0"/>
  </r>
  <r>
    <s v="台北市"/>
    <x v="10"/>
    <s v="獨立套房"/>
    <x v="77"/>
    <n v="1"/>
    <n v="1"/>
    <b v="1"/>
    <b v="1"/>
    <b v="0"/>
    <b v="0"/>
    <s v="電梯大樓"/>
    <n v="10"/>
    <n v="7"/>
    <n v="12"/>
    <b v="1"/>
    <b v="1"/>
    <b v="1"/>
    <b v="1"/>
    <b v="1"/>
    <b v="1"/>
    <b v="1"/>
    <x v="0"/>
    <b v="1"/>
    <b v="1"/>
    <b v="1"/>
    <s v="4-8層"/>
    <b v="0"/>
    <x v="0"/>
    <x v="0"/>
  </r>
  <r>
    <s v="台北市"/>
    <x v="11"/>
    <s v="分租套房"/>
    <x v="9"/>
    <n v="1"/>
    <n v="1"/>
    <b v="1"/>
    <b v="0"/>
    <b v="0"/>
    <b v="1"/>
    <s v="公寓"/>
    <n v="7.3"/>
    <n v="3"/>
    <n v="5"/>
    <b v="1"/>
    <b v="0"/>
    <b v="1"/>
    <b v="1"/>
    <b v="1"/>
    <b v="1"/>
    <b v="1"/>
    <x v="0"/>
    <b v="0"/>
    <b v="0"/>
    <b v="0"/>
    <s v="1-3層"/>
    <b v="0"/>
    <x v="0"/>
    <x v="0"/>
  </r>
  <r>
    <s v="台北市"/>
    <x v="0"/>
    <s v="雅房"/>
    <x v="78"/>
    <n v="1"/>
    <n v="0"/>
    <b v="1"/>
    <b v="1"/>
    <b v="0"/>
    <b v="0"/>
    <s v="公寓"/>
    <n v="5.6"/>
    <n v="4"/>
    <n v="5"/>
    <b v="1"/>
    <b v="0"/>
    <b v="0"/>
    <b v="1"/>
    <b v="1"/>
    <b v="1"/>
    <b v="1"/>
    <x v="0"/>
    <b v="0"/>
    <b v="0"/>
    <b v="0"/>
    <s v="4-8層"/>
    <b v="0"/>
    <x v="0"/>
    <x v="0"/>
  </r>
  <r>
    <s v="台北市"/>
    <x v="1"/>
    <s v="整層住家"/>
    <x v="79"/>
    <n v="5"/>
    <n v="3"/>
    <b v="1"/>
    <b v="0"/>
    <b v="1"/>
    <b v="0"/>
    <s v="電梯大樓"/>
    <n v="60"/>
    <n v="25"/>
    <n v="30"/>
    <b v="1"/>
    <b v="1"/>
    <b v="1"/>
    <b v="1"/>
    <b v="1"/>
    <b v="1"/>
    <b v="0"/>
    <x v="1"/>
    <b v="1"/>
    <b v="1"/>
    <b v="1"/>
    <s v="9層以上"/>
    <b v="1"/>
    <x v="1"/>
    <x v="1"/>
  </r>
  <r>
    <s v="台北市"/>
    <x v="2"/>
    <s v="獨立套房"/>
    <x v="80"/>
    <n v="1"/>
    <n v="1"/>
    <b v="1"/>
    <b v="1"/>
    <b v="1"/>
    <b v="0"/>
    <s v="電梯大樓"/>
    <n v="13"/>
    <n v="11"/>
    <n v="16"/>
    <b v="1"/>
    <b v="1"/>
    <b v="1"/>
    <b v="1"/>
    <b v="1"/>
    <b v="1"/>
    <b v="1"/>
    <x v="0"/>
    <b v="1"/>
    <b v="1"/>
    <b v="1"/>
    <s v="9層以上"/>
    <b v="0"/>
    <x v="0"/>
    <x v="0"/>
  </r>
  <r>
    <s v="台北市"/>
    <x v="3"/>
    <s v="分租套房"/>
    <x v="81"/>
    <n v="1"/>
    <n v="1"/>
    <b v="1"/>
    <b v="0"/>
    <b v="0"/>
    <b v="1"/>
    <s v="電梯大樓"/>
    <n v="9.5"/>
    <n v="7"/>
    <n v="10"/>
    <b v="1"/>
    <b v="0"/>
    <b v="1"/>
    <b v="1"/>
    <b v="1"/>
    <b v="1"/>
    <b v="1"/>
    <x v="0"/>
    <b v="1"/>
    <b v="0"/>
    <b v="0"/>
    <s v="4-8層"/>
    <b v="0"/>
    <x v="0"/>
    <x v="0"/>
  </r>
  <r>
    <s v="台北市"/>
    <x v="4"/>
    <s v="雅房"/>
    <x v="82"/>
    <n v="1"/>
    <n v="0"/>
    <b v="1"/>
    <b v="1"/>
    <b v="0"/>
    <b v="0"/>
    <s v="公寓"/>
    <n v="5.0999999999999996"/>
    <n v="2"/>
    <n v="4"/>
    <b v="1"/>
    <b v="0"/>
    <b v="0"/>
    <b v="1"/>
    <b v="1"/>
    <b v="1"/>
    <b v="1"/>
    <x v="0"/>
    <b v="0"/>
    <b v="0"/>
    <b v="0"/>
    <s v="1-3層"/>
    <b v="0"/>
    <x v="0"/>
    <x v="0"/>
  </r>
  <r>
    <s v="台北市"/>
    <x v="5"/>
    <s v="整層住家"/>
    <x v="35"/>
    <n v="4"/>
    <n v="2"/>
    <b v="0"/>
    <b v="0"/>
    <b v="1"/>
    <b v="0"/>
    <s v="電梯大樓"/>
    <n v="42"/>
    <n v="9"/>
    <n v="15"/>
    <b v="1"/>
    <b v="1"/>
    <b v="1"/>
    <b v="1"/>
    <b v="1"/>
    <b v="1"/>
    <b v="0"/>
    <x v="1"/>
    <b v="1"/>
    <b v="1"/>
    <b v="1"/>
    <s v="9層以上"/>
    <b v="1"/>
    <x v="1"/>
    <x v="1"/>
  </r>
  <r>
    <s v="台北市"/>
    <x v="6"/>
    <s v="獨立套房"/>
    <x v="83"/>
    <n v="1"/>
    <n v="1"/>
    <b v="1"/>
    <b v="1"/>
    <b v="0"/>
    <b v="0"/>
    <s v="公寓"/>
    <n v="12"/>
    <n v="4"/>
    <n v="5"/>
    <b v="1"/>
    <b v="1"/>
    <b v="1"/>
    <b v="1"/>
    <b v="1"/>
    <b v="1"/>
    <b v="1"/>
    <x v="0"/>
    <b v="0"/>
    <b v="1"/>
    <b v="1"/>
    <s v="4-8層"/>
    <b v="0"/>
    <x v="0"/>
    <x v="0"/>
  </r>
  <r>
    <s v="台北市"/>
    <x v="7"/>
    <s v="分租套房"/>
    <x v="84"/>
    <n v="1"/>
    <n v="1"/>
    <b v="0"/>
    <b v="0"/>
    <b v="1"/>
    <b v="0"/>
    <s v="公寓"/>
    <n v="6.4"/>
    <n v="3"/>
    <n v="5"/>
    <b v="1"/>
    <b v="0"/>
    <b v="1"/>
    <b v="1"/>
    <b v="1"/>
    <b v="1"/>
    <b v="1"/>
    <x v="0"/>
    <b v="0"/>
    <b v="0"/>
    <b v="0"/>
    <s v="1-3層"/>
    <b v="0"/>
    <x v="0"/>
    <x v="0"/>
  </r>
  <r>
    <s v="台北市"/>
    <x v="8"/>
    <s v="雅房"/>
    <x v="85"/>
    <n v="1"/>
    <n v="0"/>
    <b v="1"/>
    <b v="1"/>
    <b v="0"/>
    <b v="1"/>
    <s v="公寓"/>
    <n v="3.2"/>
    <n v="1"/>
    <n v="4"/>
    <b v="0"/>
    <b v="0"/>
    <b v="0"/>
    <b v="1"/>
    <b v="1"/>
    <b v="0"/>
    <b v="1"/>
    <x v="0"/>
    <b v="0"/>
    <b v="0"/>
    <b v="0"/>
    <s v="1-3層"/>
    <b v="0"/>
    <x v="0"/>
    <x v="0"/>
  </r>
  <r>
    <s v="台北市"/>
    <x v="9"/>
    <s v="整層住家"/>
    <x v="86"/>
    <n v="3"/>
    <n v="2"/>
    <b v="1"/>
    <b v="0"/>
    <b v="0"/>
    <b v="0"/>
    <s v="公寓"/>
    <n v="23"/>
    <n v="2"/>
    <n v="5"/>
    <b v="1"/>
    <b v="1"/>
    <b v="1"/>
    <b v="1"/>
    <b v="1"/>
    <b v="1"/>
    <b v="0"/>
    <x v="0"/>
    <b v="0"/>
    <b v="1"/>
    <b v="1"/>
    <s v="1-3層"/>
    <b v="0"/>
    <x v="1"/>
    <x v="0"/>
  </r>
  <r>
    <s v="台北市"/>
    <x v="10"/>
    <s v="獨立套房"/>
    <x v="73"/>
    <n v="1"/>
    <n v="1"/>
    <b v="1"/>
    <b v="1"/>
    <b v="1"/>
    <b v="0"/>
    <s v="電梯大樓"/>
    <n v="11.8"/>
    <n v="8"/>
    <n v="12"/>
    <b v="1"/>
    <b v="1"/>
    <b v="1"/>
    <b v="1"/>
    <b v="1"/>
    <b v="1"/>
    <b v="1"/>
    <x v="0"/>
    <b v="1"/>
    <b v="1"/>
    <b v="1"/>
    <s v="4-8層"/>
    <b v="0"/>
    <x v="0"/>
    <x v="0"/>
  </r>
  <r>
    <s v="台北市"/>
    <x v="11"/>
    <s v="分租套房"/>
    <x v="87"/>
    <n v="1"/>
    <n v="1"/>
    <b v="1"/>
    <b v="0"/>
    <b v="0"/>
    <b v="1"/>
    <s v="公寓"/>
    <n v="7.1"/>
    <n v="4"/>
    <n v="5"/>
    <b v="1"/>
    <b v="0"/>
    <b v="1"/>
    <b v="1"/>
    <b v="1"/>
    <b v="1"/>
    <b v="1"/>
    <x v="0"/>
    <b v="0"/>
    <b v="0"/>
    <b v="0"/>
    <s v="4-8層"/>
    <b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1A0FD-EFBF-43A5-B509-62FA46621B11}" name="樞紐分析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17" firstHeaderRow="1" firstDataRow="2" firstDataCol="1"/>
  <pivotFields count="25">
    <pivotField showAll="0"/>
    <pivotField axis="axisRow" showAll="0">
      <items count="13">
        <item x="6"/>
        <item x="10"/>
        <item x="0"/>
        <item x="2"/>
        <item x="4"/>
        <item x="5"/>
        <item x="7"/>
        <item x="8"/>
        <item x="3"/>
        <item x="1"/>
        <item x="11"/>
        <item x="9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4"/>
  </colFields>
  <colItems count="3">
    <i>
      <x/>
    </i>
    <i>
      <x v="1"/>
    </i>
    <i t="grand">
      <x/>
    </i>
  </colItems>
  <dataFields count="1">
    <dataField name="平均值 - Rent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1CB34-6763-49E2-97AA-A0A85134349A}" name="樞紐分析表3" cacheId="1" applyNumberFormats="0" applyBorderFormats="0" applyFontFormats="0" applyPatternFormats="0" applyAlignmentFormats="0" applyWidthHeightFormats="1" dataCaption="值" updatedVersion="8" minRefreshableVersion="3" printDrill="1" useAutoFormatting="1" fieldPrintTitles="1" itemPrintTitles="1" createdVersion="8" indent="0" compact="0" compactData="0" gridDropZones="1" multipleFieldFilters="0">
  <location ref="A3:C34" firstHeaderRow="2" firstDataRow="2" firstDataCol="2"/>
  <pivotFields count="26">
    <pivotField compact="0" outline="0" showAll="0"/>
    <pivotField axis="axisRow" compact="0" outline="0" showAll="0" defaultSubtotal="0">
      <items count="12">
        <item x="6"/>
        <item x="10"/>
        <item x="0"/>
        <item x="2"/>
        <item x="4"/>
        <item x="5"/>
        <item x="7"/>
        <item x="8"/>
        <item x="3"/>
        <item x="1"/>
        <item x="11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1"/>
        <item x="0"/>
        <item x="2"/>
        <item t="default"/>
      </items>
    </pivotField>
  </pivotFields>
  <rowFields count="2">
    <field x="1"/>
    <field x="25"/>
  </rowFields>
  <rowItems count="30">
    <i>
      <x/>
      <x/>
    </i>
    <i r="1">
      <x v="1"/>
    </i>
    <i>
      <x v="1"/>
      <x/>
    </i>
    <i r="1">
      <x v="1"/>
    </i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  <i>
      <x v="5"/>
      <x/>
    </i>
    <i r="1">
      <x v="1"/>
    </i>
    <i r="1">
      <x v="2"/>
    </i>
    <i>
      <x v="6"/>
      <x/>
    </i>
    <i r="1">
      <x v="1"/>
    </i>
    <i>
      <x v="7"/>
      <x/>
    </i>
    <i>
      <x v="8"/>
      <x/>
    </i>
    <i r="1">
      <x v="1"/>
    </i>
    <i r="1">
      <x v="2"/>
    </i>
    <i>
      <x v="9"/>
      <x/>
    </i>
    <i r="1">
      <x v="1"/>
    </i>
    <i r="1">
      <x v="2"/>
    </i>
    <i>
      <x v="10"/>
      <x/>
    </i>
    <i r="1">
      <x v="1"/>
    </i>
    <i r="1">
      <x v="2"/>
    </i>
    <i>
      <x v="11"/>
      <x/>
    </i>
    <i t="grand">
      <x/>
    </i>
  </rowItems>
  <colItems count="1">
    <i/>
  </colItems>
  <dataFields count="1">
    <dataField name="計數 - 是否齊全設備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EFCEB-48E2-47E0-9950-15D5D9E5C698}" name="樞紐分析表5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G4:H17" firstHeaderRow="1" firstDataRow="1" firstDataCol="1"/>
  <pivotFields count="26">
    <pivotField showAll="0"/>
    <pivotField axis="axisRow" showAll="0">
      <items count="13">
        <item x="6"/>
        <item x="10"/>
        <item x="0"/>
        <item x="2"/>
        <item x="4"/>
        <item x="5"/>
        <item x="7"/>
        <item x="8"/>
        <item x="3"/>
        <item x="1"/>
        <item x="1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計數 - 是否齊全設備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5E2A7-F605-407B-AC91-3ED39FACB9DC}" name="樞紐分析表8" cacheId="1" dataPosition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H5:I18" firstHeaderRow="1" firstDataRow="1" firstDataCol="1"/>
  <pivotFields count="26">
    <pivotField showAll="0"/>
    <pivotField axis="axisRow" showAll="0">
      <items count="13">
        <item x="6"/>
        <item x="10"/>
        <item x="0"/>
        <item x="2"/>
        <item x="4"/>
        <item x="5"/>
        <item x="7"/>
        <item x="8"/>
        <item x="3"/>
        <item x="1"/>
        <item x="11"/>
        <item x="9"/>
        <item t="default"/>
      </items>
    </pivotField>
    <pivotField showAll="0"/>
    <pivotField dataField="1" showAll="0" avgSubtotal="1">
      <items count="89">
        <item x="85"/>
        <item x="75"/>
        <item x="63"/>
        <item x="53"/>
        <item x="22"/>
        <item x="41"/>
        <item x="8"/>
        <item x="31"/>
        <item x="18"/>
        <item x="34"/>
        <item x="49"/>
        <item x="3"/>
        <item x="27"/>
        <item x="60"/>
        <item x="14"/>
        <item x="71"/>
        <item x="38"/>
        <item x="82"/>
        <item x="45"/>
        <item x="67"/>
        <item x="78"/>
        <item x="21"/>
        <item x="57"/>
        <item x="33"/>
        <item x="7"/>
        <item x="52"/>
        <item x="30"/>
        <item x="62"/>
        <item x="2"/>
        <item x="56"/>
        <item x="74"/>
        <item x="40"/>
        <item x="84"/>
        <item x="17"/>
        <item x="66"/>
        <item x="44"/>
        <item x="9"/>
        <item x="37"/>
        <item x="87"/>
        <item x="19"/>
        <item x="48"/>
        <item x="26"/>
        <item x="42"/>
        <item x="13"/>
        <item x="70"/>
        <item x="51"/>
        <item x="81"/>
        <item x="0"/>
        <item x="39"/>
        <item x="55"/>
        <item x="11"/>
        <item x="28"/>
        <item x="77"/>
        <item x="15"/>
        <item x="65"/>
        <item x="47"/>
        <item x="73"/>
        <item x="5"/>
        <item x="59"/>
        <item x="83"/>
        <item x="24"/>
        <item x="69"/>
        <item x="36"/>
        <item x="80"/>
        <item x="32"/>
        <item x="54"/>
        <item x="64"/>
        <item x="20"/>
        <item x="43"/>
        <item x="76"/>
        <item x="10"/>
        <item x="86"/>
        <item x="4"/>
        <item x="23"/>
        <item x="6"/>
        <item x="29"/>
        <item x="1"/>
        <item x="50"/>
        <item x="16"/>
        <item x="61"/>
        <item x="12"/>
        <item x="72"/>
        <item x="25"/>
        <item x="35"/>
        <item x="46"/>
        <item x="58"/>
        <item x="68"/>
        <item x="79"/>
        <item t="avg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平均值 - Rent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EBD20-5B4B-49AC-AA61-603339009540}" name="樞紐分析表7" cacheId="1" dataPosition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17" firstHeaderRow="1" firstDataRow="2" firstDataCol="1"/>
  <pivotFields count="26">
    <pivotField showAll="0"/>
    <pivotField axis="axisRow" showAll="0">
      <items count="13">
        <item x="6"/>
        <item x="10"/>
        <item x="0"/>
        <item x="2"/>
        <item x="4"/>
        <item x="5"/>
        <item x="7"/>
        <item x="8"/>
        <item x="3"/>
        <item x="1"/>
        <item x="11"/>
        <item x="9"/>
        <item t="default"/>
      </items>
    </pivotField>
    <pivotField showAll="0"/>
    <pivotField dataField="1" showAll="0" avgSubtotal="1">
      <items count="89">
        <item x="85"/>
        <item x="75"/>
        <item x="63"/>
        <item x="53"/>
        <item x="22"/>
        <item x="41"/>
        <item x="8"/>
        <item x="31"/>
        <item x="18"/>
        <item x="34"/>
        <item x="49"/>
        <item x="3"/>
        <item x="27"/>
        <item x="60"/>
        <item x="14"/>
        <item x="71"/>
        <item x="38"/>
        <item x="82"/>
        <item x="45"/>
        <item x="67"/>
        <item x="78"/>
        <item x="21"/>
        <item x="57"/>
        <item x="33"/>
        <item x="7"/>
        <item x="52"/>
        <item x="30"/>
        <item x="62"/>
        <item x="2"/>
        <item x="56"/>
        <item x="74"/>
        <item x="40"/>
        <item x="84"/>
        <item x="17"/>
        <item x="66"/>
        <item x="44"/>
        <item x="9"/>
        <item x="37"/>
        <item x="87"/>
        <item x="19"/>
        <item x="48"/>
        <item x="26"/>
        <item x="42"/>
        <item x="13"/>
        <item x="70"/>
        <item x="51"/>
        <item x="81"/>
        <item x="0"/>
        <item x="39"/>
        <item x="55"/>
        <item x="11"/>
        <item x="28"/>
        <item x="77"/>
        <item x="15"/>
        <item x="65"/>
        <item x="47"/>
        <item x="73"/>
        <item x="5"/>
        <item x="59"/>
        <item x="83"/>
        <item x="24"/>
        <item x="69"/>
        <item x="36"/>
        <item x="80"/>
        <item x="32"/>
        <item x="54"/>
        <item x="64"/>
        <item x="20"/>
        <item x="43"/>
        <item x="76"/>
        <item x="10"/>
        <item x="86"/>
        <item x="4"/>
        <item x="23"/>
        <item x="6"/>
        <item x="29"/>
        <item x="1"/>
        <item x="50"/>
        <item x="16"/>
        <item x="61"/>
        <item x="12"/>
        <item x="72"/>
        <item x="25"/>
        <item x="35"/>
        <item x="46"/>
        <item x="58"/>
        <item x="68"/>
        <item x="79"/>
        <item t="avg"/>
      </items>
    </pivotField>
    <pivotField showAll="0"/>
    <pivotField showAll="0"/>
    <pivotField axis="axisCol" showAll="0" avgSubtotal="1">
      <items count="3">
        <item x="1"/>
        <item x="0"/>
        <item t="avg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平均值 - Rent" fld="3" subtotal="average" baseField="1" baseItem="0"/>
  </dataFields>
  <formats count="10">
    <format dxfId="27">
      <pivotArea collapsedLevelsAreSubtotals="1" fieldPosition="0">
        <references count="1">
          <reference field="1" count="1">
            <x v="0"/>
          </reference>
        </references>
      </pivotArea>
    </format>
    <format dxfId="26">
      <pivotArea dataOnly="0" labelOnly="1" fieldPosition="0">
        <references count="1">
          <reference field="1" count="1">
            <x v="0"/>
          </reference>
        </references>
      </pivotArea>
    </format>
    <format dxfId="25">
      <pivotArea collapsedLevelsAreSubtotals="1" fieldPosition="0">
        <references count="1">
          <reference field="1" count="2">
            <x v="5"/>
            <x v="6"/>
          </reference>
        </references>
      </pivotArea>
    </format>
    <format dxfId="24">
      <pivotArea dataOnly="0" labelOnly="1" fieldPosition="0">
        <references count="1">
          <reference field="1" count="2">
            <x v="5"/>
            <x v="6"/>
          </reference>
        </references>
      </pivotArea>
    </format>
    <format dxfId="23">
      <pivotArea collapsedLevelsAreSubtotals="1" fieldPosition="0">
        <references count="1">
          <reference field="1" count="1">
            <x v="8"/>
          </reference>
        </references>
      </pivotArea>
    </format>
    <format dxfId="22">
      <pivotArea dataOnly="0" labelOnly="1" fieldPosition="0">
        <references count="1">
          <reference field="1" count="1">
            <x v="8"/>
          </reference>
        </references>
      </pivotArea>
    </format>
    <format dxfId="21">
      <pivotArea collapsedLevelsAreSubtotals="1" fieldPosition="0">
        <references count="1">
          <reference field="1" count="1">
            <x v="10"/>
          </reference>
        </references>
      </pivotArea>
    </format>
    <format dxfId="20">
      <pivotArea dataOnly="0" labelOnly="1" fieldPosition="0">
        <references count="1">
          <reference field="1" count="1">
            <x v="10"/>
          </reference>
        </references>
      </pivotArea>
    </format>
    <format dxfId="19">
      <pivotArea collapsedLevelsAreSubtotals="1" fieldPosition="0">
        <references count="1">
          <reference field="1" count="1">
            <x v="1"/>
          </reference>
        </references>
      </pivotArea>
    </format>
    <format dxfId="18">
      <pivotArea dataOnly="0" labelOnly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2CA5B-536F-4839-8D9A-292250954ACA}" name="樞紐分析表2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16" firstHeaderRow="1" firstDataRow="1" firstDataCol="1"/>
  <pivotFields count="27">
    <pivotField showAll="0"/>
    <pivotField axis="axisRow" showAll="0">
      <items count="13">
        <item x="6"/>
        <item x="10"/>
        <item x="0"/>
        <item x="2"/>
        <item x="4"/>
        <item x="5"/>
        <item x="7"/>
        <item x="8"/>
        <item x="3"/>
        <item x="1"/>
        <item x="11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平均值 - Rent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07495-5CDC-4E25-AE88-4FE7E53C5124}" name="樞紐分析表1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4:B14" firstHeaderRow="1" firstDataRow="1" firstDataCol="1" rowPageCount="1" colPageCount="1"/>
  <pivotFields count="29">
    <pivotField showAll="0"/>
    <pivotField axis="axisRow" showAll="0">
      <items count="13">
        <item x="6"/>
        <item x="10"/>
        <item x="0"/>
        <item x="2"/>
        <item x="4"/>
        <item x="5"/>
        <item x="7"/>
        <item x="8"/>
        <item x="3"/>
        <item x="1"/>
        <item x="1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  <pivotField showAll="0"/>
  </pivotFields>
  <rowFields count="1">
    <field x="1"/>
  </rowFields>
  <rowItems count="10">
    <i>
      <x/>
    </i>
    <i>
      <x v="1"/>
    </i>
    <i>
      <x v="2"/>
    </i>
    <i>
      <x v="4"/>
    </i>
    <i>
      <x v="5"/>
    </i>
    <i>
      <x v="7"/>
    </i>
    <i>
      <x v="9"/>
    </i>
    <i>
      <x v="10"/>
    </i>
    <i>
      <x v="11"/>
    </i>
    <i t="grand">
      <x/>
    </i>
  </rowItems>
  <colItems count="1">
    <i/>
  </colItems>
  <pageFields count="1">
    <pageField fld="27" item="1" hier="-1"/>
  </pageFields>
  <dataFields count="1">
    <dataField name="計數 - 是否大於1.5" fld="27" subtotal="count" baseField="0" baseItem="0"/>
  </dataFields>
  <formats count="10">
    <format dxfId="17">
      <pivotArea collapsedLevelsAreSubtotals="1" fieldPosition="0">
        <references count="1">
          <reference field="1" count="1">
            <x v="2"/>
          </reference>
        </references>
      </pivotArea>
    </format>
    <format dxfId="16">
      <pivotArea dataOnly="0" labelOnly="1" fieldPosition="0">
        <references count="1">
          <reference field="1" count="1">
            <x v="2"/>
          </reference>
        </references>
      </pivotArea>
    </format>
    <format dxfId="15">
      <pivotArea collapsedLevelsAreSubtotals="1" fieldPosition="0">
        <references count="1">
          <reference field="1" count="1">
            <x v="4"/>
          </reference>
        </references>
      </pivotArea>
    </format>
    <format dxfId="14">
      <pivotArea dataOnly="0" labelOnly="1" fieldPosition="0">
        <references count="1">
          <reference field="1" count="1">
            <x v="4"/>
          </reference>
        </references>
      </pivotArea>
    </format>
    <format dxfId="13">
      <pivotArea collapsedLevelsAreSubtotals="1" fieldPosition="0">
        <references count="1">
          <reference field="1" count="1">
            <x v="5"/>
          </reference>
        </references>
      </pivotArea>
    </format>
    <format dxfId="12">
      <pivotArea dataOnly="0" labelOnly="1" fieldPosition="0">
        <references count="1">
          <reference field="1" count="1">
            <x v="5"/>
          </reference>
        </references>
      </pivotArea>
    </format>
    <format dxfId="11">
      <pivotArea collapsedLevelsAreSubtotals="1" fieldPosition="0">
        <references count="1">
          <reference field="1" count="1">
            <x v="9"/>
          </reference>
        </references>
      </pivotArea>
    </format>
    <format dxfId="10">
      <pivotArea dataOnly="0" labelOnly="1" fieldPosition="0">
        <references count="1">
          <reference field="1" count="1">
            <x v="9"/>
          </reference>
        </references>
      </pivotArea>
    </format>
    <format dxfId="9">
      <pivotArea collapsedLevelsAreSubtotals="1" fieldPosition="0">
        <references count="1">
          <reference field="1" count="1">
            <x v="10"/>
          </reference>
        </references>
      </pivotArea>
    </format>
    <format dxfId="8">
      <pivotArea dataOnly="0" labelOnly="1" fieldPosition="0">
        <references count="1">
          <reference field="1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4B0F1-A386-4721-84CD-BDAF9BE1D874}" name="樞紐分析表3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F4:G10" firstHeaderRow="1" firstDataRow="1" firstDataCol="1" rowPageCount="1" colPageCount="1"/>
  <pivotFields count="29">
    <pivotField showAll="0"/>
    <pivotField axis="axisRow" showAll="0">
      <items count="13">
        <item x="6"/>
        <item x="10"/>
        <item x="0"/>
        <item x="2"/>
        <item x="4"/>
        <item x="5"/>
        <item x="7"/>
        <item x="8"/>
        <item x="3"/>
        <item x="1"/>
        <item x="1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</pivotFields>
  <rowFields count="1">
    <field x="1"/>
  </rowFields>
  <rowItems count="6">
    <i>
      <x v="2"/>
    </i>
    <i>
      <x v="4"/>
    </i>
    <i>
      <x v="5"/>
    </i>
    <i>
      <x v="9"/>
    </i>
    <i>
      <x v="10"/>
    </i>
    <i t="grand">
      <x/>
    </i>
  </rowItems>
  <colItems count="1">
    <i/>
  </colItems>
  <pageFields count="1">
    <pageField fld="28" item="1" hier="-1"/>
  </pageFields>
  <dataFields count="1">
    <dataField name="計數 - 10. 高價房源特徵分析" fld="2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26249-B14D-488F-A5E4-E631849F5D68}" name="樞紐分析表2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H2:I99" firstHeaderRow="1" firstDataRow="1" firstDataCol="2"/>
  <pivotFields count="29">
    <pivotField showAll="0"/>
    <pivotField axis="axisRow" outline="0" showAll="0" defaultSubtotal="0">
      <items count="12">
        <item x="6"/>
        <item x="10"/>
        <item x="0"/>
        <item x="2"/>
        <item x="4"/>
        <item x="5"/>
        <item x="7"/>
        <item x="8"/>
        <item x="3"/>
        <item x="1"/>
        <item x="11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showAll="0">
      <items count="89">
        <item x="85"/>
        <item x="75"/>
        <item x="63"/>
        <item x="53"/>
        <item x="22"/>
        <item x="41"/>
        <item x="8"/>
        <item x="31"/>
        <item x="18"/>
        <item x="34"/>
        <item x="49"/>
        <item x="3"/>
        <item x="27"/>
        <item x="60"/>
        <item x="14"/>
        <item x="71"/>
        <item x="38"/>
        <item x="82"/>
        <item x="45"/>
        <item x="67"/>
        <item x="78"/>
        <item x="21"/>
        <item x="57"/>
        <item x="33"/>
        <item x="7"/>
        <item x="52"/>
        <item x="30"/>
        <item x="62"/>
        <item x="2"/>
        <item x="56"/>
        <item x="74"/>
        <item x="40"/>
        <item x="84"/>
        <item x="17"/>
        <item x="66"/>
        <item x="44"/>
        <item x="9"/>
        <item x="37"/>
        <item x="87"/>
        <item x="19"/>
        <item x="48"/>
        <item x="26"/>
        <item x="42"/>
        <item x="13"/>
        <item x="70"/>
        <item x="51"/>
        <item x="81"/>
        <item x="0"/>
        <item x="39"/>
        <item x="55"/>
        <item x="11"/>
        <item x="28"/>
        <item x="77"/>
        <item x="15"/>
        <item x="65"/>
        <item x="47"/>
        <item x="73"/>
        <item x="5"/>
        <item x="59"/>
        <item x="83"/>
        <item x="24"/>
        <item x="69"/>
        <item x="36"/>
        <item x="80"/>
        <item x="32"/>
        <item x="54"/>
        <item x="64"/>
        <item x="20"/>
        <item x="43"/>
        <item x="76"/>
        <item x="10"/>
        <item x="86"/>
        <item x="4"/>
        <item x="23"/>
        <item x="6"/>
        <item x="29"/>
        <item x="1"/>
        <item x="50"/>
        <item x="16"/>
        <item x="61"/>
        <item x="12"/>
        <item x="72"/>
        <item x="25"/>
        <item x="35"/>
        <item x="46"/>
        <item x="58"/>
        <item x="68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97">
    <i>
      <x/>
      <x v="8"/>
    </i>
    <i r="1">
      <x v="26"/>
    </i>
    <i r="1">
      <x v="45"/>
    </i>
    <i r="1">
      <x v="51"/>
    </i>
    <i r="1">
      <x v="56"/>
    </i>
    <i r="1">
      <x v="59"/>
    </i>
    <i r="1">
      <x v="72"/>
    </i>
    <i r="1">
      <x v="74"/>
    </i>
    <i>
      <x v="1"/>
      <x v="4"/>
    </i>
    <i r="1">
      <x v="23"/>
    </i>
    <i r="1">
      <x v="49"/>
    </i>
    <i r="1">
      <x v="52"/>
    </i>
    <i r="1">
      <x v="54"/>
    </i>
    <i r="1">
      <x v="56"/>
    </i>
    <i r="1">
      <x v="68"/>
    </i>
    <i r="1">
      <x v="70"/>
    </i>
    <i>
      <x v="2"/>
      <x v="18"/>
    </i>
    <i r="1">
      <x v="19"/>
    </i>
    <i r="1">
      <x v="20"/>
    </i>
    <i r="1">
      <x v="22"/>
    </i>
    <i r="1">
      <x v="47"/>
    </i>
    <i r="1">
      <x v="60"/>
    </i>
    <i r="1">
      <x v="80"/>
    </i>
    <i r="1">
      <x v="83"/>
    </i>
    <i>
      <x v="3"/>
      <x v="14"/>
    </i>
    <i r="1">
      <x v="28"/>
    </i>
    <i r="1">
      <x v="37"/>
    </i>
    <i r="1">
      <x v="41"/>
    </i>
    <i r="1">
      <x v="55"/>
    </i>
    <i r="1">
      <x v="58"/>
    </i>
    <i r="1">
      <x v="61"/>
    </i>
    <i r="1">
      <x v="63"/>
    </i>
    <i>
      <x v="4"/>
      <x v="10"/>
    </i>
    <i r="1">
      <x v="13"/>
    </i>
    <i r="1">
      <x v="15"/>
    </i>
    <i r="1">
      <x v="17"/>
    </i>
    <i r="1">
      <x v="51"/>
    </i>
    <i r="1">
      <x v="72"/>
    </i>
    <i r="1">
      <x v="74"/>
    </i>
    <i r="1">
      <x v="78"/>
    </i>
    <i>
      <x v="5"/>
      <x v="33"/>
    </i>
    <i r="1">
      <x v="48"/>
    </i>
    <i r="1">
      <x v="57"/>
    </i>
    <i r="1">
      <x v="75"/>
    </i>
    <i r="1">
      <x v="77"/>
    </i>
    <i r="1">
      <x v="79"/>
    </i>
    <i r="1">
      <x v="81"/>
    </i>
    <i r="1">
      <x v="83"/>
    </i>
    <i>
      <x v="6"/>
      <x v="7"/>
    </i>
    <i r="1">
      <x v="24"/>
    </i>
    <i r="1">
      <x v="25"/>
    </i>
    <i r="1">
      <x v="27"/>
    </i>
    <i r="1">
      <x v="30"/>
    </i>
    <i r="1">
      <x v="31"/>
    </i>
    <i r="1">
      <x v="32"/>
    </i>
    <i r="1">
      <x v="39"/>
    </i>
    <i>
      <x v="7"/>
      <x/>
    </i>
    <i r="1">
      <x v="1"/>
    </i>
    <i r="1">
      <x v="2"/>
    </i>
    <i r="1">
      <x v="3"/>
    </i>
    <i r="1">
      <x v="5"/>
    </i>
    <i r="1">
      <x v="6"/>
    </i>
    <i r="1">
      <x v="43"/>
    </i>
    <i r="1">
      <x v="67"/>
    </i>
    <i>
      <x v="8"/>
      <x v="11"/>
    </i>
    <i r="1">
      <x v="12"/>
    </i>
    <i r="1">
      <x v="16"/>
    </i>
    <i r="1">
      <x v="40"/>
    </i>
    <i r="1">
      <x v="42"/>
    </i>
    <i r="1">
      <x v="44"/>
    </i>
    <i r="1">
      <x v="46"/>
    </i>
    <i r="1">
      <x v="53"/>
    </i>
    <i>
      <x v="9"/>
      <x v="43"/>
    </i>
    <i r="1">
      <x v="62"/>
    </i>
    <i r="1">
      <x v="76"/>
    </i>
    <i r="1">
      <x v="82"/>
    </i>
    <i r="1">
      <x v="84"/>
    </i>
    <i r="1">
      <x v="85"/>
    </i>
    <i r="1">
      <x v="86"/>
    </i>
    <i r="1">
      <x v="87"/>
    </i>
    <i>
      <x v="10"/>
      <x v="9"/>
    </i>
    <i r="1">
      <x v="29"/>
    </i>
    <i r="1">
      <x v="34"/>
    </i>
    <i r="1">
      <x v="35"/>
    </i>
    <i r="1">
      <x v="36"/>
    </i>
    <i r="1">
      <x v="38"/>
    </i>
    <i r="1">
      <x v="50"/>
    </i>
    <i r="1">
      <x v="73"/>
    </i>
    <i>
      <x v="11"/>
      <x v="21"/>
    </i>
    <i r="1">
      <x v="36"/>
    </i>
    <i r="1">
      <x v="42"/>
    </i>
    <i r="1">
      <x v="64"/>
    </i>
    <i r="1">
      <x v="65"/>
    </i>
    <i r="1">
      <x v="66"/>
    </i>
    <i r="1">
      <x v="69"/>
    </i>
    <i r="1">
      <x v="7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73935-08E2-4A8C-B283-43CF184E6A83}" name="樞紐分析表1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16" firstHeaderRow="0" firstDataRow="1" firstDataCol="1"/>
  <pivotFields count="29">
    <pivotField showAll="0"/>
    <pivotField axis="axisRow" showAll="0">
      <items count="13">
        <item x="6"/>
        <item x="10"/>
        <item x="0"/>
        <item x="2"/>
        <item x="4"/>
        <item x="5"/>
        <item x="7"/>
        <item x="8"/>
        <item x="3"/>
        <item x="1"/>
        <item x="11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 - Rent" fld="3" subtotal="average" baseField="0" baseItem="0"/>
    <dataField name="標準差 - Rent2" fld="3" subtotal="stdDev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DDAF2-0EAB-4784-AE90-FF49CC8B103A}" name="樞紐分析表3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17" firstHeaderRow="1" firstDataRow="2" firstDataCol="1"/>
  <pivotFields count="29">
    <pivotField showAll="0"/>
    <pivotField axis="axisRow" showAll="0">
      <items count="13">
        <item x="6"/>
        <item x="10"/>
        <item x="0"/>
        <item x="2"/>
        <item x="4"/>
        <item x="5"/>
        <item x="7"/>
        <item x="8"/>
        <item x="3"/>
        <item x="1"/>
        <item x="1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計數 - HasParking" fld="21" subtotal="count" baseField="0" baseItem="0"/>
  </dataFields>
  <formats count="8">
    <format dxfId="7">
      <pivotArea collapsedLevelsAreSubtotals="1" fieldPosition="0">
        <references count="2">
          <reference field="1" count="1">
            <x v="1"/>
          </reference>
          <reference field="21" count="1" selected="0">
            <x v="1"/>
          </reference>
        </references>
      </pivotArea>
    </format>
    <format dxfId="6">
      <pivotArea collapsedLevelsAreSubtotals="1" fieldPosition="0">
        <references count="2">
          <reference field="1" count="3">
            <x v="6"/>
            <x v="7"/>
            <x v="8"/>
          </reference>
          <reference field="21" count="1" selected="0">
            <x v="1"/>
          </reference>
        </references>
      </pivotArea>
    </format>
    <format dxfId="5">
      <pivotArea collapsedLevelsAreSubtotals="1" fieldPosition="0">
        <references count="2">
          <reference field="1" count="1">
            <x v="11"/>
          </reference>
          <reference field="21" count="1" selected="0">
            <x v="1"/>
          </reference>
        </references>
      </pivotArea>
    </format>
    <format dxfId="4">
      <pivotArea dataOnly="0" labelOnly="1" fieldPosition="0">
        <references count="1">
          <reference field="1" count="3">
            <x v="6"/>
            <x v="7"/>
            <x v="8"/>
          </reference>
        </references>
      </pivotArea>
    </format>
    <format dxfId="3">
      <pivotArea dataOnly="0" labelOnly="1" fieldPosition="0">
        <references count="1">
          <reference field="1" count="1">
            <x v="1"/>
          </reference>
        </references>
      </pivotArea>
    </format>
    <format dxfId="2">
      <pivotArea dataOnly="0" labelOnly="1" fieldPosition="0">
        <references count="1">
          <reference field="1" count="1">
            <x v="11"/>
          </reference>
        </references>
      </pivotArea>
    </format>
    <format dxfId="1">
      <pivotArea collapsedLevelsAreSubtotals="1" fieldPosition="0">
        <references count="2">
          <reference field="1" count="1">
            <x v="3"/>
          </reference>
          <reference field="21" count="1" selected="0">
            <x v="1"/>
          </reference>
        </references>
      </pivotArea>
    </format>
    <format dxfId="0">
      <pivotArea dataOnly="0" labelOnly="1" fieldPosition="0">
        <references count="1">
          <reference field="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3" xr16:uid="{9C4EFB8B-360B-4C3D-89EA-EBCFFE48DEFB}" autoFormatId="16" applyNumberFormats="0" applyBorderFormats="0" applyFontFormats="0" applyPatternFormats="0" applyAlignmentFormats="0" applyWidthHeightFormats="0">
  <queryTableRefresh nextId="26" unboundColumnsRight="1">
    <queryTableFields count="25">
      <queryTableField id="1" name="LocationCity" tableColumnId="1"/>
      <queryTableField id="2" name="LocationDistrict" tableColumnId="2"/>
      <queryTableField id="3" name="Type" tableColumnId="3"/>
      <queryTableField id="4" name="Rent" tableColumnId="4"/>
      <queryTableField id="5" name="Rooms" tableColumnId="5"/>
      <queryTableField id="6" name="Bathrooms" tableColumnId="6"/>
      <queryTableField id="7" name="IsNearMRT" tableColumnId="7"/>
      <queryTableField id="8" name="IsNewlyListed" tableColumnId="8"/>
      <queryTableField id="9" name="AllowsPets" tableColumnId="9"/>
      <queryTableField id="10" name="ShortTermRent" tableColumnId="10"/>
      <queryTableField id="11" name="BuildingType" tableColumnId="11"/>
      <queryTableField id="12" name="SizePing" tableColumnId="12"/>
      <queryTableField id="13" name="Floor" tableColumnId="13"/>
      <queryTableField id="14" name="TotalFloors" tableColumnId="14"/>
      <queryTableField id="15" name="HasAC" tableColumnId="15"/>
      <queryTableField id="16" name="HasWasher" tableColumnId="16"/>
      <queryTableField id="17" name="HasFridge" tableColumnId="17"/>
      <queryTableField id="18" name="HasWaterHeater" tableColumnId="18"/>
      <queryTableField id="19" name="HasGas" tableColumnId="19"/>
      <queryTableField id="20" name="HasInternet" tableColumnId="20"/>
      <queryTableField id="21" name="HasBed" tableColumnId="21"/>
      <queryTableField id="22" name="HasParking" tableColumnId="22"/>
      <queryTableField id="23" name="HasElevator" tableColumnId="23"/>
      <queryTableField id="24" name="HasBalcony" tableColumnId="24"/>
      <queryTableField id="25" dataBound="0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645FC-DC4A-4294-AF25-E77271EDFF89}" name="CSV假資料__3" displayName="CSV假資料__3" ref="A1:Y97" tableType="queryTable" totalsRowShown="0">
  <tableColumns count="25">
    <tableColumn id="1" xr3:uid="{A6B86DAD-41E5-41EA-9A54-F2D6E3F9FFDE}" uniqueName="1" name="LocationCity" queryTableFieldId="1" dataDxfId="32"/>
    <tableColumn id="2" xr3:uid="{CE70C829-47EE-4033-B54B-EB04347CC0D0}" uniqueName="2" name="LocationDistrict" queryTableFieldId="2" dataDxfId="31"/>
    <tableColumn id="3" xr3:uid="{F69442F5-B0A0-4CD6-BD65-DD5C7674DAF1}" uniqueName="3" name="Type" queryTableFieldId="3" dataDxfId="30"/>
    <tableColumn id="4" xr3:uid="{D8E8CAC6-A1BB-49B6-89A2-FCB607568CE3}" uniqueName="4" name="Rent" queryTableFieldId="4"/>
    <tableColumn id="5" xr3:uid="{AFAFB717-9CC2-4739-A24D-A249A92DF08E}" uniqueName="5" name="Rooms" queryTableFieldId="5"/>
    <tableColumn id="6" xr3:uid="{E18FDE09-6D78-451A-A8C0-4A1D53370FE7}" uniqueName="6" name="Bathrooms" queryTableFieldId="6"/>
    <tableColumn id="7" xr3:uid="{F70CDBCC-53FF-41E6-9CEB-E1E2B050625F}" uniqueName="7" name="IsNearMRT" queryTableFieldId="7"/>
    <tableColumn id="8" xr3:uid="{D4136FAA-E932-4F88-A84B-689066A7F6D4}" uniqueName="8" name="IsNewlyListed" queryTableFieldId="8"/>
    <tableColumn id="9" xr3:uid="{BB8616F2-4228-4B9A-A716-E1EB22D1EA9D}" uniqueName="9" name="AllowsPets" queryTableFieldId="9"/>
    <tableColumn id="10" xr3:uid="{4B7DEB00-123D-499F-8D35-C971738A3415}" uniqueName="10" name="ShortTermRent" queryTableFieldId="10"/>
    <tableColumn id="11" xr3:uid="{5AE940AE-D4AC-4156-A5E1-3719901BE874}" uniqueName="11" name="BuildingType" queryTableFieldId="11" dataDxfId="29"/>
    <tableColumn id="12" xr3:uid="{9F5F69E7-7FB5-40FC-9E07-8C7438B960B9}" uniqueName="12" name="SizePing" queryTableFieldId="12"/>
    <tableColumn id="13" xr3:uid="{67D0C9A7-5229-4FAC-8982-13873D1A1663}" uniqueName="13" name="Floor" queryTableFieldId="13"/>
    <tableColumn id="14" xr3:uid="{C90D820F-4747-4907-B642-B1C79BC16E00}" uniqueName="14" name="TotalFloors" queryTableFieldId="14"/>
    <tableColumn id="15" xr3:uid="{FD681C2C-3C26-4DA9-A3CC-63FA44DE4FE8}" uniqueName="15" name="HasAC" queryTableFieldId="15"/>
    <tableColumn id="16" xr3:uid="{BD3F8E0F-2A9D-417C-B421-0E0688AD0532}" uniqueName="16" name="HasWasher" queryTableFieldId="16"/>
    <tableColumn id="17" xr3:uid="{CC9A7D3E-871E-40C8-946D-67E3C6D80E34}" uniqueName="17" name="HasFridge" queryTableFieldId="17"/>
    <tableColumn id="18" xr3:uid="{B4E1A9AF-9A13-4579-B4AE-60D94A002487}" uniqueName="18" name="HasWaterHeater" queryTableFieldId="18"/>
    <tableColumn id="19" xr3:uid="{534142EC-977E-4EC2-86C4-9B44D0E57975}" uniqueName="19" name="HasGas" queryTableFieldId="19"/>
    <tableColumn id="20" xr3:uid="{CC178714-C422-4344-8AC7-521D3EF78491}" uniqueName="20" name="HasInternet" queryTableFieldId="20"/>
    <tableColumn id="21" xr3:uid="{3BCA5D96-4FFA-4F06-BE63-F8981107530B}" uniqueName="21" name="HasBed" queryTableFieldId="21"/>
    <tableColumn id="22" xr3:uid="{6827C3FA-3EC8-4A4A-9609-17F0443D498F}" uniqueName="22" name="HasParking" queryTableFieldId="22"/>
    <tableColumn id="23" xr3:uid="{4317C16A-CF76-4797-AA2E-B007F51ED8C2}" uniqueName="23" name="HasElevator" queryTableFieldId="23"/>
    <tableColumn id="24" xr3:uid="{44C8F947-835F-481C-BEF1-8A8D6C69FE77}" uniqueName="24" name="HasBalcony" queryTableFieldId="24"/>
    <tableColumn id="25" xr3:uid="{C2F2C9E6-C9BE-48E0-9EF8-EBE7E13F8213}" uniqueName="25" name="是否齊全設備" queryTableFieldId="25" dataDxfId="28">
      <calculatedColumnFormula array="1">IF((COUNTIF(CSV假資料__3[[#This Row],[HasAC]:[HasWaterHeater]],"FALSE")+COUTIF(CSV假資料__3[[#This Row],[HasInternet]],"FALSE"))=0,TRUE,FALSE)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5B46-8F8C-443B-9DB1-5163DB1E60E8}">
  <dimension ref="A1:Y97"/>
  <sheetViews>
    <sheetView topLeftCell="I1" workbookViewId="0">
      <pane ySplit="1" topLeftCell="A2" activePane="bottomLeft" state="frozen"/>
      <selection pane="bottomLeft" activeCell="Y2" sqref="Y2"/>
    </sheetView>
  </sheetViews>
  <sheetFormatPr defaultRowHeight="16.5" x14ac:dyDescent="0.25"/>
  <cols>
    <col min="1" max="1" width="15.5" bestFit="1" customWidth="1"/>
    <col min="2" max="2" width="18.75" bestFit="1" customWidth="1"/>
    <col min="3" max="3" width="10" bestFit="1" customWidth="1"/>
    <col min="4" max="4" width="7.75" bestFit="1" customWidth="1"/>
    <col min="5" max="5" width="9.875" bestFit="1" customWidth="1"/>
    <col min="6" max="6" width="13.5" bestFit="1" customWidth="1"/>
    <col min="7" max="7" width="14.5" bestFit="1" customWidth="1"/>
    <col min="8" max="8" width="17.125" bestFit="1" customWidth="1"/>
    <col min="9" max="9" width="13.875" bestFit="1" customWidth="1"/>
    <col min="10" max="10" width="18" bestFit="1" customWidth="1"/>
    <col min="11" max="11" width="16.125" bestFit="1" customWidth="1"/>
    <col min="12" max="12" width="11.5" bestFit="1" customWidth="1"/>
    <col min="13" max="13" width="8.5" bestFit="1" customWidth="1"/>
    <col min="14" max="14" width="14.25" bestFit="1" customWidth="1"/>
    <col min="15" max="15" width="10" bestFit="1" customWidth="1"/>
    <col min="16" max="16" width="13.875" bestFit="1" customWidth="1"/>
    <col min="17" max="17" width="13" bestFit="1" customWidth="1"/>
    <col min="18" max="18" width="19" bestFit="1" customWidth="1"/>
    <col min="19" max="19" width="10.5" bestFit="1" customWidth="1"/>
    <col min="20" max="20" width="14.25" bestFit="1" customWidth="1"/>
    <col min="21" max="21" width="10.5" bestFit="1" customWidth="1"/>
    <col min="22" max="22" width="14.125" bestFit="1" customWidth="1"/>
    <col min="23" max="23" width="14.875" bestFit="1" customWidth="1"/>
    <col min="24" max="24" width="14.5" bestFit="1" customWidth="1"/>
    <col min="25" max="25" width="9.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50</v>
      </c>
    </row>
    <row r="2" spans="1:25" x14ac:dyDescent="0.25">
      <c r="A2" s="1" t="s">
        <v>24</v>
      </c>
      <c r="B2" s="1" t="s">
        <v>25</v>
      </c>
      <c r="C2" s="1" t="s">
        <v>26</v>
      </c>
      <c r="D2">
        <v>12000</v>
      </c>
      <c r="E2">
        <v>1</v>
      </c>
      <c r="F2">
        <v>1</v>
      </c>
      <c r="G2" t="b">
        <v>1</v>
      </c>
      <c r="H2" t="b">
        <v>1</v>
      </c>
      <c r="I2" t="b">
        <v>0</v>
      </c>
      <c r="J2" t="b">
        <v>0</v>
      </c>
      <c r="K2" s="1" t="s">
        <v>27</v>
      </c>
      <c r="L2">
        <v>8.5</v>
      </c>
      <c r="M2">
        <v>5</v>
      </c>
      <c r="N2">
        <v>12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0</v>
      </c>
      <c r="W2" t="b">
        <v>1</v>
      </c>
      <c r="X2" t="b">
        <v>1</v>
      </c>
      <c r="Y2" t="e" cm="1">
        <f t="array" aca="1" ref="Y2" ca="1">IF((COUNTIF(CSV假資料__3[[#This Row],[HasAC]:[HasWaterHeater]],"FALSE")+COUTIF(CSV假資料__3[[#This Row],[HasInternet]],"FALSE"))=0,TRUE,FALSE)</f>
        <v>#NAME?</v>
      </c>
    </row>
    <row r="3" spans="1:25" x14ac:dyDescent="0.25">
      <c r="A3" s="1" t="s">
        <v>24</v>
      </c>
      <c r="B3" s="1" t="s">
        <v>28</v>
      </c>
      <c r="C3" s="1" t="s">
        <v>29</v>
      </c>
      <c r="D3">
        <v>35000</v>
      </c>
      <c r="E3">
        <v>3</v>
      </c>
      <c r="F3">
        <v>2</v>
      </c>
      <c r="G3" t="b">
        <v>1</v>
      </c>
      <c r="H3" t="b">
        <v>0</v>
      </c>
      <c r="I3" t="b">
        <v>1</v>
      </c>
      <c r="J3" t="b">
        <v>0</v>
      </c>
      <c r="K3" s="1" t="s">
        <v>30</v>
      </c>
      <c r="L3">
        <v>28</v>
      </c>
      <c r="M3">
        <v>3</v>
      </c>
      <c r="N3">
        <v>5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0</v>
      </c>
      <c r="V3" t="b">
        <v>0</v>
      </c>
      <c r="W3" t="b">
        <v>0</v>
      </c>
      <c r="X3" t="b">
        <v>1</v>
      </c>
      <c r="Y3" t="e" cm="1">
        <f t="array" aca="1" ref="Y3" ca="1">IF((COUNTIF(CSV假資料__3[[#This Row],[HasAC]:[HasWaterHeater]],"FALSE")+COUTIF(CSV假資料__3[[#This Row],[HasInternet]],"FALSE"))=0,TRUE,FALSE)</f>
        <v>#NAME?</v>
      </c>
    </row>
    <row r="4" spans="1:25" x14ac:dyDescent="0.25">
      <c r="A4" s="1" t="s">
        <v>24</v>
      </c>
      <c r="B4" s="1" t="s">
        <v>31</v>
      </c>
      <c r="C4" s="1" t="s">
        <v>32</v>
      </c>
      <c r="D4">
        <v>8000</v>
      </c>
      <c r="E4">
        <v>1</v>
      </c>
      <c r="F4">
        <v>1</v>
      </c>
      <c r="G4" t="b">
        <v>1</v>
      </c>
      <c r="H4" t="b">
        <v>0</v>
      </c>
      <c r="I4" t="b">
        <v>0</v>
      </c>
      <c r="J4" t="b">
        <v>1</v>
      </c>
      <c r="K4" s="1" t="s">
        <v>27</v>
      </c>
      <c r="L4">
        <v>6</v>
      </c>
      <c r="M4">
        <v>7</v>
      </c>
      <c r="N4">
        <v>10</v>
      </c>
      <c r="O4" t="b">
        <v>1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1</v>
      </c>
      <c r="X4" t="b">
        <v>0</v>
      </c>
      <c r="Y4" t="e" cm="1">
        <f t="array" aca="1" ref="Y4" ca="1">IF((COUNTIF(CSV假資料__3[[#This Row],[HasAC]:[HasWaterHeater]],"FALSE")+COUTIF(CSV假資料__3[[#This Row],[HasInternet]],"FALSE"))=0,TRUE,FALSE)</f>
        <v>#NAME?</v>
      </c>
    </row>
    <row r="5" spans="1:25" x14ac:dyDescent="0.25">
      <c r="A5" s="1" t="s">
        <v>24</v>
      </c>
      <c r="B5" s="1" t="s">
        <v>33</v>
      </c>
      <c r="C5" s="1" t="s">
        <v>34</v>
      </c>
      <c r="D5">
        <v>5500</v>
      </c>
      <c r="E5">
        <v>1</v>
      </c>
      <c r="F5">
        <v>0</v>
      </c>
      <c r="G5" t="b">
        <v>0</v>
      </c>
      <c r="H5" t="b">
        <v>1</v>
      </c>
      <c r="I5" t="b">
        <v>0</v>
      </c>
      <c r="J5" t="b">
        <v>0</v>
      </c>
      <c r="K5" s="1" t="s">
        <v>30</v>
      </c>
      <c r="L5">
        <v>4.5</v>
      </c>
      <c r="M5">
        <v>2</v>
      </c>
      <c r="N5">
        <v>4</v>
      </c>
      <c r="O5" t="b">
        <v>1</v>
      </c>
      <c r="P5" t="b">
        <v>0</v>
      </c>
      <c r="Q5" t="b">
        <v>0</v>
      </c>
      <c r="R5" t="b">
        <v>1</v>
      </c>
      <c r="S5" t="b">
        <v>1</v>
      </c>
      <c r="T5" t="b">
        <v>1</v>
      </c>
      <c r="U5" t="b">
        <v>1</v>
      </c>
      <c r="V5" t="b">
        <v>0</v>
      </c>
      <c r="W5" t="b">
        <v>0</v>
      </c>
      <c r="X5" t="b">
        <v>0</v>
      </c>
      <c r="Y5" t="e" cm="1">
        <f t="array" aca="1" ref="Y5" ca="1">IF((COUNTIF(CSV假資料__3[[#This Row],[HasAC]:[HasWaterHeater]],"FALSE")+COUTIF(CSV假資料__3[[#This Row],[HasInternet]],"FALSE"))=0,TRUE,FALSE)</f>
        <v>#NAME?</v>
      </c>
    </row>
    <row r="6" spans="1:25" x14ac:dyDescent="0.25">
      <c r="A6" s="1" t="s">
        <v>24</v>
      </c>
      <c r="B6" s="1" t="s">
        <v>35</v>
      </c>
      <c r="C6" s="1" t="s">
        <v>29</v>
      </c>
      <c r="D6">
        <v>28000</v>
      </c>
      <c r="E6">
        <v>2</v>
      </c>
      <c r="F6">
        <v>1</v>
      </c>
      <c r="G6" t="b">
        <v>1</v>
      </c>
      <c r="H6" t="b">
        <v>0</v>
      </c>
      <c r="I6" t="b">
        <v>1</v>
      </c>
      <c r="J6" t="b">
        <v>0</v>
      </c>
      <c r="K6" s="1" t="s">
        <v>27</v>
      </c>
      <c r="L6">
        <v>18</v>
      </c>
      <c r="M6">
        <v>8</v>
      </c>
      <c r="N6">
        <v>15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0</v>
      </c>
      <c r="V6" t="b">
        <v>1</v>
      </c>
      <c r="W6" t="b">
        <v>1</v>
      </c>
      <c r="X6" t="b">
        <v>1</v>
      </c>
      <c r="Y6" t="e" cm="1">
        <f t="array" aca="1" ref="Y6" ca="1">IF((COUNTIF(CSV假資料__3[[#This Row],[HasAC]:[HasWaterHeater]],"FALSE")+COUTIF(CSV假資料__3[[#This Row],[HasInternet]],"FALSE"))=0,TRUE,FALSE)</f>
        <v>#NAME?</v>
      </c>
    </row>
    <row r="7" spans="1:25" x14ac:dyDescent="0.25">
      <c r="A7" s="1" t="s">
        <v>24</v>
      </c>
      <c r="B7" s="1" t="s">
        <v>36</v>
      </c>
      <c r="C7" s="1" t="s">
        <v>26</v>
      </c>
      <c r="D7">
        <v>15000</v>
      </c>
      <c r="E7">
        <v>1</v>
      </c>
      <c r="F7">
        <v>1</v>
      </c>
      <c r="G7" t="b">
        <v>0</v>
      </c>
      <c r="H7" t="b">
        <v>1</v>
      </c>
      <c r="I7" t="b">
        <v>1</v>
      </c>
      <c r="J7" t="b">
        <v>0</v>
      </c>
      <c r="K7" s="1" t="s">
        <v>27</v>
      </c>
      <c r="L7">
        <v>10</v>
      </c>
      <c r="M7">
        <v>6</v>
      </c>
      <c r="N7">
        <v>12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e" cm="1">
        <f t="array" aca="1" ref="Y7" ca="1">IF((COUNTIF(CSV假資料__3[[#This Row],[HasAC]:[HasWaterHeater]],"FALSE")+COUTIF(CSV假資料__3[[#This Row],[HasInternet]],"FALSE"))=0,TRUE,FALSE)</f>
        <v>#NAME?</v>
      </c>
    </row>
    <row r="8" spans="1:25" x14ac:dyDescent="0.25">
      <c r="A8" s="1" t="s">
        <v>24</v>
      </c>
      <c r="B8" s="1" t="s">
        <v>37</v>
      </c>
      <c r="C8" s="1" t="s">
        <v>29</v>
      </c>
      <c r="D8">
        <v>32000</v>
      </c>
      <c r="E8">
        <v>4</v>
      </c>
      <c r="F8">
        <v>2</v>
      </c>
      <c r="G8" t="b">
        <v>1</v>
      </c>
      <c r="H8" t="b">
        <v>0</v>
      </c>
      <c r="I8" t="b">
        <v>0</v>
      </c>
      <c r="J8" t="b">
        <v>0</v>
      </c>
      <c r="K8" s="1" t="s">
        <v>38</v>
      </c>
      <c r="L8">
        <v>35</v>
      </c>
      <c r="M8">
        <v>1</v>
      </c>
      <c r="N8">
        <v>3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0</v>
      </c>
      <c r="V8" t="b">
        <v>1</v>
      </c>
      <c r="W8" t="b">
        <v>0</v>
      </c>
      <c r="X8" t="b">
        <v>1</v>
      </c>
      <c r="Y8" t="e" cm="1">
        <f t="array" aca="1" ref="Y8" ca="1">IF((COUNTIF(CSV假資料__3[[#This Row],[HasAC]:[HasWaterHeater]],"FALSE")+COUTIF(CSV假資料__3[[#This Row],[HasInternet]],"FALSE"))=0,TRUE,FALSE)</f>
        <v>#NAME?</v>
      </c>
    </row>
    <row r="9" spans="1:25" x14ac:dyDescent="0.25">
      <c r="A9" s="1" t="s">
        <v>24</v>
      </c>
      <c r="B9" s="1" t="s">
        <v>39</v>
      </c>
      <c r="C9" s="1" t="s">
        <v>32</v>
      </c>
      <c r="D9">
        <v>7500</v>
      </c>
      <c r="E9">
        <v>1</v>
      </c>
      <c r="F9">
        <v>1</v>
      </c>
      <c r="G9" t="b">
        <v>0</v>
      </c>
      <c r="H9" t="b">
        <v>1</v>
      </c>
      <c r="I9" t="b">
        <v>0</v>
      </c>
      <c r="J9" t="b">
        <v>0</v>
      </c>
      <c r="K9" s="1" t="s">
        <v>30</v>
      </c>
      <c r="L9">
        <v>5.5</v>
      </c>
      <c r="M9">
        <v>4</v>
      </c>
      <c r="N9">
        <v>5</v>
      </c>
      <c r="O9" t="b">
        <v>1</v>
      </c>
      <c r="P9" t="b">
        <v>0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0</v>
      </c>
      <c r="W9" t="b">
        <v>0</v>
      </c>
      <c r="X9" t="b">
        <v>0</v>
      </c>
      <c r="Y9" t="e" cm="1">
        <f t="array" aca="1" ref="Y9" ca="1">IF((COUNTIF(CSV假資料__3[[#This Row],[HasAC]:[HasWaterHeater]],"FALSE")+COUTIF(CSV假資料__3[[#This Row],[HasInternet]],"FALSE"))=0,TRUE,FALSE)</f>
        <v>#NAME?</v>
      </c>
    </row>
    <row r="10" spans="1:25" x14ac:dyDescent="0.25">
      <c r="A10" s="1" t="s">
        <v>24</v>
      </c>
      <c r="B10" s="1" t="s">
        <v>40</v>
      </c>
      <c r="C10" s="1" t="s">
        <v>34</v>
      </c>
      <c r="D10">
        <v>5000</v>
      </c>
      <c r="E10">
        <v>1</v>
      </c>
      <c r="F10">
        <v>0</v>
      </c>
      <c r="G10" t="b">
        <v>1</v>
      </c>
      <c r="H10" t="b">
        <v>0</v>
      </c>
      <c r="I10" t="b">
        <v>1</v>
      </c>
      <c r="J10" t="b">
        <v>1</v>
      </c>
      <c r="K10" s="1" t="s">
        <v>30</v>
      </c>
      <c r="L10">
        <v>4</v>
      </c>
      <c r="M10">
        <v>3</v>
      </c>
      <c r="N10">
        <v>4</v>
      </c>
      <c r="O10" t="b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e" cm="1">
        <f t="array" aca="1" ref="Y10" ca="1">IF((COUNTIF(CSV假資料__3[[#This Row],[HasAC]:[HasWaterHeater]],"FALSE")+COUTIF(CSV假資料__3[[#This Row],[HasInternet]],"FALSE"))=0,TRUE,FALSE)</f>
        <v>#NAME?</v>
      </c>
    </row>
    <row r="11" spans="1:25" x14ac:dyDescent="0.25">
      <c r="A11" s="1" t="s">
        <v>24</v>
      </c>
      <c r="B11" s="1" t="s">
        <v>41</v>
      </c>
      <c r="C11" s="1" t="s">
        <v>26</v>
      </c>
      <c r="D11">
        <v>9000</v>
      </c>
      <c r="E11">
        <v>1</v>
      </c>
      <c r="F11">
        <v>1</v>
      </c>
      <c r="G11" t="b">
        <v>1</v>
      </c>
      <c r="H11" t="b">
        <v>1</v>
      </c>
      <c r="I11" t="b">
        <v>0</v>
      </c>
      <c r="J11" t="b">
        <v>0</v>
      </c>
      <c r="K11" s="1" t="s">
        <v>30</v>
      </c>
      <c r="L11">
        <v>7</v>
      </c>
      <c r="M11">
        <v>2</v>
      </c>
      <c r="N11">
        <v>5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0</v>
      </c>
      <c r="W11" t="b">
        <v>0</v>
      </c>
      <c r="X11" t="b">
        <v>0</v>
      </c>
      <c r="Y11" t="e" cm="1">
        <f t="array" aca="1" ref="Y11" ca="1">IF((COUNTIF(CSV假資料__3[[#This Row],[HasAC]:[HasWaterHeater]],"FALSE")+COUTIF(CSV假資料__3[[#This Row],[HasInternet]],"FALSE"))=0,TRUE,FALSE)</f>
        <v>#NAME?</v>
      </c>
    </row>
    <row r="12" spans="1:25" x14ac:dyDescent="0.25">
      <c r="A12" s="1" t="s">
        <v>24</v>
      </c>
      <c r="B12" s="1" t="s">
        <v>42</v>
      </c>
      <c r="C12" s="1" t="s">
        <v>29</v>
      </c>
      <c r="D12">
        <v>25000</v>
      </c>
      <c r="E12">
        <v>2</v>
      </c>
      <c r="F12">
        <v>1</v>
      </c>
      <c r="G12" t="b">
        <v>1</v>
      </c>
      <c r="H12" t="b">
        <v>0</v>
      </c>
      <c r="I12" t="b">
        <v>1</v>
      </c>
      <c r="J12" t="b">
        <v>0</v>
      </c>
      <c r="K12" s="1" t="s">
        <v>30</v>
      </c>
      <c r="L12">
        <v>20</v>
      </c>
      <c r="M12">
        <v>3</v>
      </c>
      <c r="N12">
        <v>5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0</v>
      </c>
      <c r="V12" t="b">
        <v>0</v>
      </c>
      <c r="W12" t="b">
        <v>0</v>
      </c>
      <c r="X12" t="b">
        <v>1</v>
      </c>
      <c r="Y12" t="e" cm="1">
        <f t="array" aca="1" ref="Y12" ca="1">IF((COUNTIF(CSV假資料__3[[#This Row],[HasAC]:[HasWaterHeater]],"FALSE")+COUTIF(CSV假資料__3[[#This Row],[HasInternet]],"FALSE"))=0,TRUE,FALSE)</f>
        <v>#NAME?</v>
      </c>
    </row>
    <row r="13" spans="1:25" x14ac:dyDescent="0.25">
      <c r="A13" s="1" t="s">
        <v>24</v>
      </c>
      <c r="B13" s="1" t="s">
        <v>43</v>
      </c>
      <c r="C13" s="1" t="s">
        <v>26</v>
      </c>
      <c r="D13">
        <v>13000</v>
      </c>
      <c r="E13">
        <v>1</v>
      </c>
      <c r="F13">
        <v>1</v>
      </c>
      <c r="G13" t="b">
        <v>1</v>
      </c>
      <c r="H13" t="b">
        <v>1</v>
      </c>
      <c r="I13" t="b">
        <v>0</v>
      </c>
      <c r="J13" t="b">
        <v>0</v>
      </c>
      <c r="K13" s="1" t="s">
        <v>27</v>
      </c>
      <c r="L13">
        <v>9</v>
      </c>
      <c r="M13">
        <v>10</v>
      </c>
      <c r="N13">
        <v>15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  <c r="W13" t="b">
        <v>1</v>
      </c>
      <c r="X13" t="b">
        <v>1</v>
      </c>
      <c r="Y13" t="e" cm="1">
        <f t="array" aca="1" ref="Y13" ca="1">IF((COUNTIF(CSV假資料__3[[#This Row],[HasAC]:[HasWaterHeater]],"FALSE")+COUTIF(CSV假資料__3[[#This Row],[HasInternet]],"FALSE"))=0,TRUE,FALSE)</f>
        <v>#NAME?</v>
      </c>
    </row>
    <row r="14" spans="1:25" x14ac:dyDescent="0.25">
      <c r="A14" s="1" t="s">
        <v>24</v>
      </c>
      <c r="B14" s="1" t="s">
        <v>25</v>
      </c>
      <c r="C14" s="1" t="s">
        <v>29</v>
      </c>
      <c r="D14">
        <v>42000</v>
      </c>
      <c r="E14">
        <v>3</v>
      </c>
      <c r="F14">
        <v>2</v>
      </c>
      <c r="G14" t="b">
        <v>1</v>
      </c>
      <c r="H14" t="b">
        <v>0</v>
      </c>
      <c r="I14" t="b">
        <v>0</v>
      </c>
      <c r="J14" t="b">
        <v>0</v>
      </c>
      <c r="K14" s="1" t="s">
        <v>27</v>
      </c>
      <c r="L14">
        <v>32</v>
      </c>
      <c r="M14">
        <v>7</v>
      </c>
      <c r="N14">
        <v>12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0</v>
      </c>
      <c r="V14" t="b">
        <v>1</v>
      </c>
      <c r="W14" t="b">
        <v>1</v>
      </c>
      <c r="X14" t="b">
        <v>1</v>
      </c>
      <c r="Y14" t="e" cm="1">
        <f t="array" aca="1" ref="Y14" ca="1">IF((COUNTIF(CSV假資料__3[[#This Row],[HasAC]:[HasWaterHeater]],"FALSE")+COUTIF(CSV假資料__3[[#This Row],[HasInternet]],"FALSE"))=0,TRUE,FALSE)</f>
        <v>#NAME?</v>
      </c>
    </row>
    <row r="15" spans="1:25" x14ac:dyDescent="0.25">
      <c r="A15" s="1" t="s">
        <v>24</v>
      </c>
      <c r="B15" s="1" t="s">
        <v>28</v>
      </c>
      <c r="C15" s="1" t="s">
        <v>32</v>
      </c>
      <c r="D15">
        <v>11000</v>
      </c>
      <c r="E15">
        <v>1</v>
      </c>
      <c r="F15">
        <v>1</v>
      </c>
      <c r="G15" t="b">
        <v>1</v>
      </c>
      <c r="H15" t="b">
        <v>1</v>
      </c>
      <c r="I15" t="b">
        <v>0</v>
      </c>
      <c r="J15" t="b">
        <v>1</v>
      </c>
      <c r="K15" s="1" t="s">
        <v>27</v>
      </c>
      <c r="L15">
        <v>7.5</v>
      </c>
      <c r="M15">
        <v>5</v>
      </c>
      <c r="N15">
        <v>8</v>
      </c>
      <c r="O15" t="b">
        <v>1</v>
      </c>
      <c r="P15" t="b">
        <v>0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0</v>
      </c>
      <c r="W15" t="b">
        <v>1</v>
      </c>
      <c r="X15" t="b">
        <v>0</v>
      </c>
      <c r="Y15" t="e" cm="1">
        <f t="array" aca="1" ref="Y15" ca="1">IF((COUNTIF(CSV假資料__3[[#This Row],[HasAC]:[HasWaterHeater]],"FALSE")+COUTIF(CSV假資料__3[[#This Row],[HasInternet]],"FALSE"))=0,TRUE,FALSE)</f>
        <v>#NAME?</v>
      </c>
    </row>
    <row r="16" spans="1:25" x14ac:dyDescent="0.25">
      <c r="A16" s="1" t="s">
        <v>24</v>
      </c>
      <c r="B16" s="1" t="s">
        <v>31</v>
      </c>
      <c r="C16" s="1" t="s">
        <v>34</v>
      </c>
      <c r="D16">
        <v>6000</v>
      </c>
      <c r="E16">
        <v>1</v>
      </c>
      <c r="F16">
        <v>0</v>
      </c>
      <c r="G16" t="b">
        <v>1</v>
      </c>
      <c r="H16" t="b">
        <v>0</v>
      </c>
      <c r="I16" t="b">
        <v>0</v>
      </c>
      <c r="J16" t="b">
        <v>0</v>
      </c>
      <c r="K16" s="1" t="s">
        <v>30</v>
      </c>
      <c r="L16">
        <v>5</v>
      </c>
      <c r="M16">
        <v>1</v>
      </c>
      <c r="N16">
        <v>4</v>
      </c>
      <c r="O16" t="b">
        <v>1</v>
      </c>
      <c r="P16" t="b">
        <v>0</v>
      </c>
      <c r="Q16" t="b">
        <v>0</v>
      </c>
      <c r="R16" t="b">
        <v>1</v>
      </c>
      <c r="S16" t="b">
        <v>1</v>
      </c>
      <c r="T16" t="b">
        <v>1</v>
      </c>
      <c r="U16" t="b">
        <v>1</v>
      </c>
      <c r="V16" t="b">
        <v>0</v>
      </c>
      <c r="W16" t="b">
        <v>0</v>
      </c>
      <c r="X16" t="b">
        <v>0</v>
      </c>
      <c r="Y16" t="e" cm="1">
        <f t="array" aca="1" ref="Y16" ca="1">IF((COUNTIF(CSV假資料__3[[#This Row],[HasAC]:[HasWaterHeater]],"FALSE")+COUTIF(CSV假資料__3[[#This Row],[HasInternet]],"FALSE"))=0,TRUE,FALSE)</f>
        <v>#NAME?</v>
      </c>
    </row>
    <row r="17" spans="1:25" x14ac:dyDescent="0.25">
      <c r="A17" s="1" t="s">
        <v>24</v>
      </c>
      <c r="B17" s="1" t="s">
        <v>33</v>
      </c>
      <c r="C17" s="1" t="s">
        <v>26</v>
      </c>
      <c r="D17">
        <v>14000</v>
      </c>
      <c r="E17">
        <v>1</v>
      </c>
      <c r="F17">
        <v>1</v>
      </c>
      <c r="G17" t="b">
        <v>1</v>
      </c>
      <c r="H17" t="b">
        <v>1</v>
      </c>
      <c r="I17" t="b">
        <v>1</v>
      </c>
      <c r="J17" t="b">
        <v>0</v>
      </c>
      <c r="K17" s="1" t="s">
        <v>27</v>
      </c>
      <c r="L17">
        <v>8</v>
      </c>
      <c r="M17">
        <v>9</v>
      </c>
      <c r="N17">
        <v>14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0</v>
      </c>
      <c r="W17" t="b">
        <v>1</v>
      </c>
      <c r="X17" t="b">
        <v>1</v>
      </c>
      <c r="Y17" t="e" cm="1">
        <f t="array" aca="1" ref="Y17" ca="1">IF((COUNTIF(CSV假資料__3[[#This Row],[HasAC]:[HasWaterHeater]],"FALSE")+COUTIF(CSV假資料__3[[#This Row],[HasInternet]],"FALSE"))=0,TRUE,FALSE)</f>
        <v>#NAME?</v>
      </c>
    </row>
    <row r="18" spans="1:25" x14ac:dyDescent="0.25">
      <c r="A18" s="1" t="s">
        <v>24</v>
      </c>
      <c r="B18" s="1" t="s">
        <v>35</v>
      </c>
      <c r="C18" s="1" t="s">
        <v>29</v>
      </c>
      <c r="D18">
        <v>38000</v>
      </c>
      <c r="E18">
        <v>3</v>
      </c>
      <c r="F18">
        <v>2</v>
      </c>
      <c r="G18" t="b">
        <v>1</v>
      </c>
      <c r="H18" t="b">
        <v>0</v>
      </c>
      <c r="I18" t="b">
        <v>1</v>
      </c>
      <c r="J18" t="b">
        <v>0</v>
      </c>
      <c r="K18" s="1" t="s">
        <v>27</v>
      </c>
      <c r="L18">
        <v>30</v>
      </c>
      <c r="M18">
        <v>12</v>
      </c>
      <c r="N18">
        <v>20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0</v>
      </c>
      <c r="V18" t="b">
        <v>1</v>
      </c>
      <c r="W18" t="b">
        <v>1</v>
      </c>
      <c r="X18" t="b">
        <v>1</v>
      </c>
      <c r="Y18" t="e" cm="1">
        <f t="array" aca="1" ref="Y18" ca="1">IF((COUNTIF(CSV假資料__3[[#This Row],[HasAC]:[HasWaterHeater]],"FALSE")+COUTIF(CSV假資料__3[[#This Row],[HasInternet]],"FALSE"))=0,TRUE,FALSE)</f>
        <v>#NAME?</v>
      </c>
    </row>
    <row r="19" spans="1:25" x14ac:dyDescent="0.25">
      <c r="A19" s="1" t="s">
        <v>24</v>
      </c>
      <c r="B19" s="1" t="s">
        <v>36</v>
      </c>
      <c r="C19" s="1" t="s">
        <v>32</v>
      </c>
      <c r="D19">
        <v>8500</v>
      </c>
      <c r="E19">
        <v>1</v>
      </c>
      <c r="F19">
        <v>1</v>
      </c>
      <c r="G19" t="b">
        <v>0</v>
      </c>
      <c r="H19" t="b">
        <v>0</v>
      </c>
      <c r="I19" t="b">
        <v>0</v>
      </c>
      <c r="J19" t="b">
        <v>0</v>
      </c>
      <c r="K19" s="1" t="s">
        <v>30</v>
      </c>
      <c r="L19">
        <v>6.5</v>
      </c>
      <c r="M19">
        <v>3</v>
      </c>
      <c r="N19">
        <v>6</v>
      </c>
      <c r="O19" t="b">
        <v>1</v>
      </c>
      <c r="P19" t="b">
        <v>0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0</v>
      </c>
      <c r="W19" t="b">
        <v>0</v>
      </c>
      <c r="X19" t="b">
        <v>0</v>
      </c>
      <c r="Y19" t="e" cm="1">
        <f t="array" aca="1" ref="Y19" ca="1">IF((COUNTIF(CSV假資料__3[[#This Row],[HasAC]:[HasWaterHeater]],"FALSE")+COUTIF(CSV假資料__3[[#This Row],[HasInternet]],"FALSE"))=0,TRUE,FALSE)</f>
        <v>#NAME?</v>
      </c>
    </row>
    <row r="20" spans="1:25" x14ac:dyDescent="0.25">
      <c r="A20" s="1" t="s">
        <v>24</v>
      </c>
      <c r="B20" s="1" t="s">
        <v>37</v>
      </c>
      <c r="C20" s="1" t="s">
        <v>34</v>
      </c>
      <c r="D20">
        <v>5200</v>
      </c>
      <c r="E20">
        <v>1</v>
      </c>
      <c r="F20">
        <v>0</v>
      </c>
      <c r="G20" t="b">
        <v>1</v>
      </c>
      <c r="H20" t="b">
        <v>1</v>
      </c>
      <c r="I20" t="b">
        <v>0</v>
      </c>
      <c r="J20" t="b">
        <v>1</v>
      </c>
      <c r="K20" s="1" t="s">
        <v>30</v>
      </c>
      <c r="L20">
        <v>4.2</v>
      </c>
      <c r="M20">
        <v>2</v>
      </c>
      <c r="N20">
        <v>4</v>
      </c>
      <c r="O20" t="b">
        <v>1</v>
      </c>
      <c r="P20" t="b">
        <v>0</v>
      </c>
      <c r="Q20" t="b">
        <v>0</v>
      </c>
      <c r="R20" t="b">
        <v>1</v>
      </c>
      <c r="S20" t="b">
        <v>1</v>
      </c>
      <c r="T20" t="b">
        <v>1</v>
      </c>
      <c r="U20" t="b">
        <v>1</v>
      </c>
      <c r="V20" t="b">
        <v>0</v>
      </c>
      <c r="W20" t="b">
        <v>0</v>
      </c>
      <c r="X20" t="b">
        <v>0</v>
      </c>
      <c r="Y20" t="e" cm="1">
        <f t="array" aca="1" ref="Y20" ca="1">IF((COUNTIF(CSV假資料__3[[#This Row],[HasAC]:[HasWaterHeater]],"FALSE")+COUTIF(CSV假資料__3[[#This Row],[HasInternet]],"FALSE"))=0,TRUE,FALSE)</f>
        <v>#NAME?</v>
      </c>
    </row>
    <row r="21" spans="1:25" x14ac:dyDescent="0.25">
      <c r="A21" s="1" t="s">
        <v>24</v>
      </c>
      <c r="B21" s="1" t="s">
        <v>39</v>
      </c>
      <c r="C21" s="1" t="s">
        <v>26</v>
      </c>
      <c r="D21">
        <v>9500</v>
      </c>
      <c r="E21">
        <v>1</v>
      </c>
      <c r="F21">
        <v>1</v>
      </c>
      <c r="G21" t="b">
        <v>0</v>
      </c>
      <c r="H21" t="b">
        <v>0</v>
      </c>
      <c r="I21" t="b">
        <v>1</v>
      </c>
      <c r="J21" t="b">
        <v>0</v>
      </c>
      <c r="K21" s="1" t="s">
        <v>30</v>
      </c>
      <c r="L21">
        <v>7.8</v>
      </c>
      <c r="M21">
        <v>4</v>
      </c>
      <c r="N21">
        <v>5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0</v>
      </c>
      <c r="W21" t="b">
        <v>0</v>
      </c>
      <c r="X21" t="b">
        <v>1</v>
      </c>
      <c r="Y21" t="e" cm="1">
        <f t="array" aca="1" ref="Y21" ca="1">IF((COUNTIF(CSV假資料__3[[#This Row],[HasAC]:[HasWaterHeater]],"FALSE")+COUTIF(CSV假資料__3[[#This Row],[HasInternet]],"FALSE"))=0,TRUE,FALSE)</f>
        <v>#NAME?</v>
      </c>
    </row>
    <row r="22" spans="1:25" x14ac:dyDescent="0.25">
      <c r="A22" s="1" t="s">
        <v>24</v>
      </c>
      <c r="B22" s="1" t="s">
        <v>40</v>
      </c>
      <c r="C22" s="1" t="s">
        <v>29</v>
      </c>
      <c r="D22">
        <v>22000</v>
      </c>
      <c r="E22">
        <v>2</v>
      </c>
      <c r="F22">
        <v>1</v>
      </c>
      <c r="G22" t="b">
        <v>1</v>
      </c>
      <c r="H22" t="b">
        <v>1</v>
      </c>
      <c r="I22" t="b">
        <v>0</v>
      </c>
      <c r="J22" t="b">
        <v>0</v>
      </c>
      <c r="K22" s="1" t="s">
        <v>30</v>
      </c>
      <c r="L22">
        <v>22</v>
      </c>
      <c r="M22">
        <v>2</v>
      </c>
      <c r="N22">
        <v>4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0</v>
      </c>
      <c r="V22" t="b">
        <v>0</v>
      </c>
      <c r="W22" t="b">
        <v>0</v>
      </c>
      <c r="X22" t="b">
        <v>1</v>
      </c>
      <c r="Y22" t="e" cm="1">
        <f t="array" aca="1" ref="Y22" ca="1">IF((COUNTIF(CSV假資料__3[[#This Row],[HasAC]:[HasWaterHeater]],"FALSE")+COUTIF(CSV假資料__3[[#This Row],[HasInternet]],"FALSE"))=0,TRUE,FALSE)</f>
        <v>#NAME?</v>
      </c>
    </row>
    <row r="23" spans="1:25" x14ac:dyDescent="0.25">
      <c r="A23" s="1" t="s">
        <v>24</v>
      </c>
      <c r="B23" s="1" t="s">
        <v>41</v>
      </c>
      <c r="C23" s="1" t="s">
        <v>32</v>
      </c>
      <c r="D23">
        <v>7000</v>
      </c>
      <c r="E23">
        <v>1</v>
      </c>
      <c r="F23">
        <v>1</v>
      </c>
      <c r="G23" t="b">
        <v>1</v>
      </c>
      <c r="H23" t="b">
        <v>0</v>
      </c>
      <c r="I23" t="b">
        <v>0</v>
      </c>
      <c r="J23" t="b">
        <v>0</v>
      </c>
      <c r="K23" s="1" t="s">
        <v>30</v>
      </c>
      <c r="L23">
        <v>5.8</v>
      </c>
      <c r="M23">
        <v>1</v>
      </c>
      <c r="N23">
        <v>5</v>
      </c>
      <c r="O23" t="b">
        <v>1</v>
      </c>
      <c r="P23" t="b">
        <v>0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0</v>
      </c>
      <c r="W23" t="b">
        <v>0</v>
      </c>
      <c r="X23" t="b">
        <v>0</v>
      </c>
      <c r="Y23" t="e" cm="1">
        <f t="array" aca="1" ref="Y23" ca="1">IF((COUNTIF(CSV假資料__3[[#This Row],[HasAC]:[HasWaterHeater]],"FALSE")+COUTIF(CSV假資料__3[[#This Row],[HasInternet]],"FALSE"))=0,TRUE,FALSE)</f>
        <v>#NAME?</v>
      </c>
    </row>
    <row r="24" spans="1:25" x14ac:dyDescent="0.25">
      <c r="A24" s="1" t="s">
        <v>24</v>
      </c>
      <c r="B24" s="1" t="s">
        <v>42</v>
      </c>
      <c r="C24" s="1" t="s">
        <v>34</v>
      </c>
      <c r="D24">
        <v>4800</v>
      </c>
      <c r="E24">
        <v>1</v>
      </c>
      <c r="F24">
        <v>0</v>
      </c>
      <c r="G24" t="b">
        <v>1</v>
      </c>
      <c r="H24" t="b">
        <v>1</v>
      </c>
      <c r="I24" t="b">
        <v>0</v>
      </c>
      <c r="J24" t="b">
        <v>1</v>
      </c>
      <c r="K24" s="1" t="s">
        <v>30</v>
      </c>
      <c r="L24">
        <v>3.8</v>
      </c>
      <c r="M24">
        <v>3</v>
      </c>
      <c r="N24">
        <v>5</v>
      </c>
      <c r="O24" t="b">
        <v>0</v>
      </c>
      <c r="P24" t="b">
        <v>0</v>
      </c>
      <c r="Q24" t="b">
        <v>0</v>
      </c>
      <c r="R24" t="b">
        <v>1</v>
      </c>
      <c r="S24" t="b">
        <v>1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e" cm="1">
        <f t="array" aca="1" ref="Y24" ca="1">IF((COUNTIF(CSV假資料__3[[#This Row],[HasAC]:[HasWaterHeater]],"FALSE")+COUTIF(CSV假資料__3[[#This Row],[HasInternet]],"FALSE"))=0,TRUE,FALSE)</f>
        <v>#NAME?</v>
      </c>
    </row>
    <row r="25" spans="1:25" x14ac:dyDescent="0.25">
      <c r="A25" s="1" t="s">
        <v>24</v>
      </c>
      <c r="B25" s="1" t="s">
        <v>43</v>
      </c>
      <c r="C25" s="1" t="s">
        <v>29</v>
      </c>
      <c r="D25">
        <v>30000</v>
      </c>
      <c r="E25">
        <v>2</v>
      </c>
      <c r="F25">
        <v>1</v>
      </c>
      <c r="G25" t="b">
        <v>1</v>
      </c>
      <c r="H25" t="b">
        <v>0</v>
      </c>
      <c r="I25" t="b">
        <v>1</v>
      </c>
      <c r="J25" t="b">
        <v>0</v>
      </c>
      <c r="K25" s="1" t="s">
        <v>27</v>
      </c>
      <c r="L25">
        <v>25</v>
      </c>
      <c r="M25">
        <v>8</v>
      </c>
      <c r="N25">
        <v>12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0</v>
      </c>
      <c r="V25" t="b">
        <v>1</v>
      </c>
      <c r="W25" t="b">
        <v>1</v>
      </c>
      <c r="X25" t="b">
        <v>1</v>
      </c>
      <c r="Y25" t="e" cm="1">
        <f t="array" aca="1" ref="Y25" ca="1">IF((COUNTIF(CSV假資料__3[[#This Row],[HasAC]:[HasWaterHeater]],"FALSE")+COUTIF(CSV假資料__3[[#This Row],[HasInternet]],"FALSE"))=0,TRUE,FALSE)</f>
        <v>#NAME?</v>
      </c>
    </row>
    <row r="26" spans="1:25" x14ac:dyDescent="0.25">
      <c r="A26" s="1" t="s">
        <v>24</v>
      </c>
      <c r="B26" s="1" t="s">
        <v>25</v>
      </c>
      <c r="C26" s="1" t="s">
        <v>26</v>
      </c>
      <c r="D26">
        <v>16000</v>
      </c>
      <c r="E26">
        <v>1</v>
      </c>
      <c r="F26">
        <v>1</v>
      </c>
      <c r="G26" t="b">
        <v>1</v>
      </c>
      <c r="H26" t="b">
        <v>1</v>
      </c>
      <c r="I26" t="b">
        <v>0</v>
      </c>
      <c r="J26" t="b">
        <v>0</v>
      </c>
      <c r="K26" s="1" t="s">
        <v>27</v>
      </c>
      <c r="L26">
        <v>11</v>
      </c>
      <c r="M26">
        <v>6</v>
      </c>
      <c r="N26">
        <v>10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0</v>
      </c>
      <c r="W26" t="b">
        <v>1</v>
      </c>
      <c r="X26" t="b">
        <v>1</v>
      </c>
      <c r="Y26" t="e" cm="1">
        <f t="array" aca="1" ref="Y26" ca="1">IF((COUNTIF(CSV假資料__3[[#This Row],[HasAC]:[HasWaterHeater]],"FALSE")+COUTIF(CSV假資料__3[[#This Row],[HasInternet]],"FALSE"))=0,TRUE,FALSE)</f>
        <v>#NAME?</v>
      </c>
    </row>
    <row r="27" spans="1:25" x14ac:dyDescent="0.25">
      <c r="A27" s="1" t="s">
        <v>24</v>
      </c>
      <c r="B27" s="1" t="s">
        <v>28</v>
      </c>
      <c r="C27" s="1" t="s">
        <v>29</v>
      </c>
      <c r="D27">
        <v>45000</v>
      </c>
      <c r="E27">
        <v>4</v>
      </c>
      <c r="F27">
        <v>2</v>
      </c>
      <c r="G27" t="b">
        <v>1</v>
      </c>
      <c r="H27" t="b">
        <v>0</v>
      </c>
      <c r="I27" t="b">
        <v>1</v>
      </c>
      <c r="J27" t="b">
        <v>0</v>
      </c>
      <c r="K27" s="1" t="s">
        <v>27</v>
      </c>
      <c r="L27">
        <v>38</v>
      </c>
      <c r="M27">
        <v>15</v>
      </c>
      <c r="N27">
        <v>20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0</v>
      </c>
      <c r="V27" t="b">
        <v>1</v>
      </c>
      <c r="W27" t="b">
        <v>1</v>
      </c>
      <c r="X27" t="b">
        <v>1</v>
      </c>
      <c r="Y27" t="e" cm="1">
        <f t="array" aca="1" ref="Y27" ca="1">IF((COUNTIF(CSV假資料__3[[#This Row],[HasAC]:[HasWaterHeater]],"FALSE")+COUTIF(CSV假資料__3[[#This Row],[HasInternet]],"FALSE"))=0,TRUE,FALSE)</f>
        <v>#NAME?</v>
      </c>
    </row>
    <row r="28" spans="1:25" x14ac:dyDescent="0.25">
      <c r="A28" s="1" t="s">
        <v>24</v>
      </c>
      <c r="B28" s="1" t="s">
        <v>31</v>
      </c>
      <c r="C28" s="1" t="s">
        <v>32</v>
      </c>
      <c r="D28">
        <v>10000</v>
      </c>
      <c r="E28">
        <v>1</v>
      </c>
      <c r="F28">
        <v>1</v>
      </c>
      <c r="G28" t="b">
        <v>1</v>
      </c>
      <c r="H28" t="b">
        <v>1</v>
      </c>
      <c r="I28" t="b">
        <v>0</v>
      </c>
      <c r="J28" t="b">
        <v>1</v>
      </c>
      <c r="K28" s="1" t="s">
        <v>27</v>
      </c>
      <c r="L28">
        <v>8.1999999999999993</v>
      </c>
      <c r="M28">
        <v>4</v>
      </c>
      <c r="N28">
        <v>8</v>
      </c>
      <c r="O28" t="b">
        <v>1</v>
      </c>
      <c r="P28" t="b">
        <v>0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  <c r="W28" t="b">
        <v>1</v>
      </c>
      <c r="X28" t="b">
        <v>0</v>
      </c>
      <c r="Y28" t="e" cm="1">
        <f t="array" aca="1" ref="Y28" ca="1">IF((COUNTIF(CSV假資料__3[[#This Row],[HasAC]:[HasWaterHeater]],"FALSE")+COUTIF(CSV假資料__3[[#This Row],[HasInternet]],"FALSE"))=0,TRUE,FALSE)</f>
        <v>#NAME?</v>
      </c>
    </row>
    <row r="29" spans="1:25" x14ac:dyDescent="0.25">
      <c r="A29" s="1" t="s">
        <v>24</v>
      </c>
      <c r="B29" s="1" t="s">
        <v>33</v>
      </c>
      <c r="C29" s="1" t="s">
        <v>34</v>
      </c>
      <c r="D29">
        <v>5800</v>
      </c>
      <c r="E29">
        <v>1</v>
      </c>
      <c r="F29">
        <v>0</v>
      </c>
      <c r="G29" t="b">
        <v>0</v>
      </c>
      <c r="H29" t="b">
        <v>0</v>
      </c>
      <c r="I29" t="b">
        <v>1</v>
      </c>
      <c r="J29" t="b">
        <v>0</v>
      </c>
      <c r="K29" s="1" t="s">
        <v>30</v>
      </c>
      <c r="L29">
        <v>4.8</v>
      </c>
      <c r="M29">
        <v>2</v>
      </c>
      <c r="N29">
        <v>4</v>
      </c>
      <c r="O29" t="b">
        <v>1</v>
      </c>
      <c r="P29" t="b">
        <v>0</v>
      </c>
      <c r="Q29" t="b">
        <v>0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  <c r="W29" t="b">
        <v>0</v>
      </c>
      <c r="X29" t="b">
        <v>0</v>
      </c>
      <c r="Y29" t="e" cm="1">
        <f t="array" aca="1" ref="Y29" ca="1">IF((COUNTIF(CSV假資料__3[[#This Row],[HasAC]:[HasWaterHeater]],"FALSE")+COUTIF(CSV假資料__3[[#This Row],[HasInternet]],"FALSE"))=0,TRUE,FALSE)</f>
        <v>#NAME?</v>
      </c>
    </row>
    <row r="30" spans="1:25" x14ac:dyDescent="0.25">
      <c r="A30" s="1" t="s">
        <v>24</v>
      </c>
      <c r="B30" s="1" t="s">
        <v>35</v>
      </c>
      <c r="C30" s="1" t="s">
        <v>26</v>
      </c>
      <c r="D30">
        <v>13500</v>
      </c>
      <c r="E30">
        <v>1</v>
      </c>
      <c r="F30">
        <v>1</v>
      </c>
      <c r="G30" t="b">
        <v>1</v>
      </c>
      <c r="H30" t="b">
        <v>1</v>
      </c>
      <c r="I30" t="b">
        <v>0</v>
      </c>
      <c r="J30" t="b">
        <v>0</v>
      </c>
      <c r="K30" s="1" t="s">
        <v>27</v>
      </c>
      <c r="L30">
        <v>9.5</v>
      </c>
      <c r="M30">
        <v>7</v>
      </c>
      <c r="N30">
        <v>12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0</v>
      </c>
      <c r="W30" t="b">
        <v>1</v>
      </c>
      <c r="X30" t="b">
        <v>1</v>
      </c>
      <c r="Y30" t="e" cm="1">
        <f t="array" aca="1" ref="Y30" ca="1">IF((COUNTIF(CSV假資料__3[[#This Row],[HasAC]:[HasWaterHeater]],"FALSE")+COUTIF(CSV假資料__3[[#This Row],[HasInternet]],"FALSE"))=0,TRUE,FALSE)</f>
        <v>#NAME?</v>
      </c>
    </row>
    <row r="31" spans="1:25" x14ac:dyDescent="0.25">
      <c r="A31" s="1" t="s">
        <v>24</v>
      </c>
      <c r="B31" s="1" t="s">
        <v>36</v>
      </c>
      <c r="C31" s="1" t="s">
        <v>29</v>
      </c>
      <c r="D31">
        <v>33000</v>
      </c>
      <c r="E31">
        <v>3</v>
      </c>
      <c r="F31">
        <v>2</v>
      </c>
      <c r="G31" t="b">
        <v>0</v>
      </c>
      <c r="H31" t="b">
        <v>0</v>
      </c>
      <c r="I31" t="b">
        <v>1</v>
      </c>
      <c r="J31" t="b">
        <v>0</v>
      </c>
      <c r="K31" s="1" t="s">
        <v>27</v>
      </c>
      <c r="L31">
        <v>29</v>
      </c>
      <c r="M31">
        <v>5</v>
      </c>
      <c r="N31">
        <v>10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0</v>
      </c>
      <c r="V31" t="b">
        <v>1</v>
      </c>
      <c r="W31" t="b">
        <v>1</v>
      </c>
      <c r="X31" t="b">
        <v>1</v>
      </c>
      <c r="Y31" t="e" cm="1">
        <f t="array" aca="1" ref="Y31" ca="1">IF((COUNTIF(CSV假資料__3[[#This Row],[HasAC]:[HasWaterHeater]],"FALSE")+COUTIF(CSV假資料__3[[#This Row],[HasInternet]],"FALSE"))=0,TRUE,FALSE)</f>
        <v>#NAME?</v>
      </c>
    </row>
    <row r="32" spans="1:25" x14ac:dyDescent="0.25">
      <c r="A32" s="1" t="s">
        <v>24</v>
      </c>
      <c r="B32" s="1" t="s">
        <v>37</v>
      </c>
      <c r="C32" s="1" t="s">
        <v>32</v>
      </c>
      <c r="D32">
        <v>7800</v>
      </c>
      <c r="E32">
        <v>1</v>
      </c>
      <c r="F32">
        <v>1</v>
      </c>
      <c r="G32" t="b">
        <v>1</v>
      </c>
      <c r="H32" t="b">
        <v>1</v>
      </c>
      <c r="I32" t="b">
        <v>0</v>
      </c>
      <c r="J32" t="b">
        <v>0</v>
      </c>
      <c r="K32" s="1" t="s">
        <v>30</v>
      </c>
      <c r="L32">
        <v>6.2</v>
      </c>
      <c r="M32">
        <v>3</v>
      </c>
      <c r="N32">
        <v>5</v>
      </c>
      <c r="O32" t="b">
        <v>1</v>
      </c>
      <c r="P32" t="b">
        <v>0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0</v>
      </c>
      <c r="W32" t="b">
        <v>0</v>
      </c>
      <c r="X32" t="b">
        <v>0</v>
      </c>
      <c r="Y32" t="e" cm="1">
        <f t="array" aca="1" ref="Y32" ca="1">IF((COUNTIF(CSV假資料__3[[#This Row],[HasAC]:[HasWaterHeater]],"FALSE")+COUTIF(CSV假資料__3[[#This Row],[HasInternet]],"FALSE"))=0,TRUE,FALSE)</f>
        <v>#NAME?</v>
      </c>
    </row>
    <row r="33" spans="1:25" x14ac:dyDescent="0.25">
      <c r="A33" s="1" t="s">
        <v>24</v>
      </c>
      <c r="B33" s="1" t="s">
        <v>39</v>
      </c>
      <c r="C33" s="1" t="s">
        <v>34</v>
      </c>
      <c r="D33">
        <v>5100</v>
      </c>
      <c r="E33">
        <v>1</v>
      </c>
      <c r="F33">
        <v>0</v>
      </c>
      <c r="G33" t="b">
        <v>0</v>
      </c>
      <c r="H33" t="b">
        <v>0</v>
      </c>
      <c r="I33" t="b">
        <v>0</v>
      </c>
      <c r="J33" t="b">
        <v>1</v>
      </c>
      <c r="K33" s="1" t="s">
        <v>30</v>
      </c>
      <c r="L33">
        <v>4.0999999999999996</v>
      </c>
      <c r="M33">
        <v>1</v>
      </c>
      <c r="N33">
        <v>4</v>
      </c>
      <c r="O33" t="b">
        <v>0</v>
      </c>
      <c r="P33" t="b">
        <v>0</v>
      </c>
      <c r="Q33" t="b">
        <v>0</v>
      </c>
      <c r="R33" t="b">
        <v>1</v>
      </c>
      <c r="S33" t="b">
        <v>1</v>
      </c>
      <c r="T33" t="b">
        <v>1</v>
      </c>
      <c r="U33" t="b">
        <v>1</v>
      </c>
      <c r="V33" t="b">
        <v>0</v>
      </c>
      <c r="W33" t="b">
        <v>0</v>
      </c>
      <c r="X33" t="b">
        <v>0</v>
      </c>
      <c r="Y33" t="e" cm="1">
        <f t="array" aca="1" ref="Y33" ca="1">IF((COUNTIF(CSV假資料__3[[#This Row],[HasAC]:[HasWaterHeater]],"FALSE")+COUTIF(CSV假資料__3[[#This Row],[HasInternet]],"FALSE"))=0,TRUE,FALSE)</f>
        <v>#NAME?</v>
      </c>
    </row>
    <row r="34" spans="1:25" x14ac:dyDescent="0.25">
      <c r="A34" s="1" t="s">
        <v>24</v>
      </c>
      <c r="B34" s="1" t="s">
        <v>40</v>
      </c>
      <c r="C34" s="1" t="s">
        <v>26</v>
      </c>
      <c r="D34">
        <v>11000</v>
      </c>
      <c r="E34">
        <v>1</v>
      </c>
      <c r="F34">
        <v>1</v>
      </c>
      <c r="G34" t="b">
        <v>1</v>
      </c>
      <c r="H34" t="b">
        <v>1</v>
      </c>
      <c r="I34" t="b">
        <v>1</v>
      </c>
      <c r="J34" t="b">
        <v>0</v>
      </c>
      <c r="K34" s="1" t="s">
        <v>30</v>
      </c>
      <c r="L34">
        <v>8.8000000000000007</v>
      </c>
      <c r="M34">
        <v>2</v>
      </c>
      <c r="N34">
        <v>4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0</v>
      </c>
      <c r="W34" t="b">
        <v>0</v>
      </c>
      <c r="X34" t="b">
        <v>1</v>
      </c>
      <c r="Y34" t="e" cm="1">
        <f t="array" aca="1" ref="Y34" ca="1">IF((COUNTIF(CSV假資料__3[[#This Row],[HasAC]:[HasWaterHeater]],"FALSE")+COUTIF(CSV假資料__3[[#This Row],[HasInternet]],"FALSE"))=0,TRUE,FALSE)</f>
        <v>#NAME?</v>
      </c>
    </row>
    <row r="35" spans="1:25" x14ac:dyDescent="0.25">
      <c r="A35" s="1" t="s">
        <v>24</v>
      </c>
      <c r="B35" s="1" t="s">
        <v>41</v>
      </c>
      <c r="C35" s="1" t="s">
        <v>29</v>
      </c>
      <c r="D35">
        <v>18000</v>
      </c>
      <c r="E35">
        <v>1</v>
      </c>
      <c r="F35">
        <v>1</v>
      </c>
      <c r="G35" t="b">
        <v>1</v>
      </c>
      <c r="H35" t="b">
        <v>0</v>
      </c>
      <c r="I35" t="b">
        <v>0</v>
      </c>
      <c r="J35" t="b">
        <v>0</v>
      </c>
      <c r="K35" s="1" t="s">
        <v>30</v>
      </c>
      <c r="L35">
        <v>15</v>
      </c>
      <c r="M35">
        <v>3</v>
      </c>
      <c r="N35">
        <v>5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0</v>
      </c>
      <c r="V35" t="b">
        <v>0</v>
      </c>
      <c r="W35" t="b">
        <v>0</v>
      </c>
      <c r="X35" t="b">
        <v>1</v>
      </c>
      <c r="Y35" t="e" cm="1">
        <f t="array" aca="1" ref="Y35" ca="1">IF((COUNTIF(CSV假資料__3[[#This Row],[HasAC]:[HasWaterHeater]],"FALSE")+COUTIF(CSV假資料__3[[#This Row],[HasInternet]],"FALSE"))=0,TRUE,FALSE)</f>
        <v>#NAME?</v>
      </c>
    </row>
    <row r="36" spans="1:25" x14ac:dyDescent="0.25">
      <c r="A36" s="1" t="s">
        <v>24</v>
      </c>
      <c r="B36" s="1" t="s">
        <v>42</v>
      </c>
      <c r="C36" s="1" t="s">
        <v>32</v>
      </c>
      <c r="D36">
        <v>7200</v>
      </c>
      <c r="E36">
        <v>1</v>
      </c>
      <c r="F36">
        <v>1</v>
      </c>
      <c r="G36" t="b">
        <v>1</v>
      </c>
      <c r="H36" t="b">
        <v>1</v>
      </c>
      <c r="I36" t="b">
        <v>0</v>
      </c>
      <c r="J36" t="b">
        <v>0</v>
      </c>
      <c r="K36" s="1" t="s">
        <v>30</v>
      </c>
      <c r="L36">
        <v>5.6</v>
      </c>
      <c r="M36">
        <v>4</v>
      </c>
      <c r="N36">
        <v>5</v>
      </c>
      <c r="O36" t="b">
        <v>1</v>
      </c>
      <c r="P36" t="b">
        <v>0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0</v>
      </c>
      <c r="W36" t="b">
        <v>0</v>
      </c>
      <c r="X36" t="b">
        <v>0</v>
      </c>
      <c r="Y36" t="e" cm="1">
        <f t="array" aca="1" ref="Y36" ca="1">IF((COUNTIF(CSV假資料__3[[#This Row],[HasAC]:[HasWaterHeater]],"FALSE")+COUTIF(CSV假資料__3[[#This Row],[HasInternet]],"FALSE"))=0,TRUE,FALSE)</f>
        <v>#NAME?</v>
      </c>
    </row>
    <row r="37" spans="1:25" x14ac:dyDescent="0.25">
      <c r="A37" s="1" t="s">
        <v>24</v>
      </c>
      <c r="B37" s="1" t="s">
        <v>43</v>
      </c>
      <c r="C37" s="1" t="s">
        <v>34</v>
      </c>
      <c r="D37">
        <v>5300</v>
      </c>
      <c r="E37">
        <v>1</v>
      </c>
      <c r="F37">
        <v>0</v>
      </c>
      <c r="G37" t="b">
        <v>0</v>
      </c>
      <c r="H37" t="b">
        <v>0</v>
      </c>
      <c r="I37" t="b">
        <v>1</v>
      </c>
      <c r="J37" t="b">
        <v>1</v>
      </c>
      <c r="K37" s="1" t="s">
        <v>30</v>
      </c>
      <c r="L37">
        <v>4.3</v>
      </c>
      <c r="M37">
        <v>2</v>
      </c>
      <c r="N37">
        <v>4</v>
      </c>
      <c r="O37" t="b">
        <v>1</v>
      </c>
      <c r="P37" t="b">
        <v>0</v>
      </c>
      <c r="Q37" t="b">
        <v>0</v>
      </c>
      <c r="R37" t="b">
        <v>1</v>
      </c>
      <c r="S37" t="b">
        <v>1</v>
      </c>
      <c r="T37" t="b">
        <v>1</v>
      </c>
      <c r="U37" t="b">
        <v>1</v>
      </c>
      <c r="V37" t="b">
        <v>0</v>
      </c>
      <c r="W37" t="b">
        <v>0</v>
      </c>
      <c r="X37" t="b">
        <v>0</v>
      </c>
      <c r="Y37" t="e" cm="1">
        <f t="array" aca="1" ref="Y37" ca="1">IF((COUNTIF(CSV假資料__3[[#This Row],[HasAC]:[HasWaterHeater]],"FALSE")+COUTIF(CSV假資料__3[[#This Row],[HasInternet]],"FALSE"))=0,TRUE,FALSE)</f>
        <v>#NAME?</v>
      </c>
    </row>
    <row r="38" spans="1:25" x14ac:dyDescent="0.25">
      <c r="A38" s="1" t="s">
        <v>24</v>
      </c>
      <c r="B38" s="1" t="s">
        <v>25</v>
      </c>
      <c r="C38" s="1" t="s">
        <v>29</v>
      </c>
      <c r="D38">
        <v>48000</v>
      </c>
      <c r="E38">
        <v>4</v>
      </c>
      <c r="F38">
        <v>2</v>
      </c>
      <c r="G38" t="b">
        <v>1</v>
      </c>
      <c r="H38" t="b">
        <v>0</v>
      </c>
      <c r="I38" t="b">
        <v>0</v>
      </c>
      <c r="J38" t="b">
        <v>0</v>
      </c>
      <c r="K38" s="1" t="s">
        <v>27</v>
      </c>
      <c r="L38">
        <v>40</v>
      </c>
      <c r="M38">
        <v>10</v>
      </c>
      <c r="N38">
        <v>15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0</v>
      </c>
      <c r="V38" t="b">
        <v>1</v>
      </c>
      <c r="W38" t="b">
        <v>1</v>
      </c>
      <c r="X38" t="b">
        <v>1</v>
      </c>
      <c r="Y38" t="e" cm="1">
        <f t="array" aca="1" ref="Y38" ca="1">IF((COUNTIF(CSV假資料__3[[#This Row],[HasAC]:[HasWaterHeater]],"FALSE")+COUTIF(CSV假資料__3[[#This Row],[HasInternet]],"FALSE"))=0,TRUE,FALSE)</f>
        <v>#NAME?</v>
      </c>
    </row>
    <row r="39" spans="1:25" x14ac:dyDescent="0.25">
      <c r="A39" s="1" t="s">
        <v>24</v>
      </c>
      <c r="B39" s="1" t="s">
        <v>28</v>
      </c>
      <c r="C39" s="1" t="s">
        <v>26</v>
      </c>
      <c r="D39">
        <v>17000</v>
      </c>
      <c r="E39">
        <v>1</v>
      </c>
      <c r="F39">
        <v>1</v>
      </c>
      <c r="G39" t="b">
        <v>1</v>
      </c>
      <c r="H39" t="b">
        <v>1</v>
      </c>
      <c r="I39" t="b">
        <v>1</v>
      </c>
      <c r="J39" t="b">
        <v>0</v>
      </c>
      <c r="K39" s="1" t="s">
        <v>27</v>
      </c>
      <c r="L39">
        <v>12</v>
      </c>
      <c r="M39">
        <v>8</v>
      </c>
      <c r="N39">
        <v>12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0</v>
      </c>
      <c r="W39" t="b">
        <v>1</v>
      </c>
      <c r="X39" t="b">
        <v>1</v>
      </c>
      <c r="Y39" t="e" cm="1">
        <f t="array" aca="1" ref="Y39" ca="1">IF((COUNTIF(CSV假資料__3[[#This Row],[HasAC]:[HasWaterHeater]],"FALSE")+COUTIF(CSV假資料__3[[#This Row],[HasInternet]],"FALSE"))=0,TRUE,FALSE)</f>
        <v>#NAME?</v>
      </c>
    </row>
    <row r="40" spans="1:25" x14ac:dyDescent="0.25">
      <c r="A40" s="1" t="s">
        <v>24</v>
      </c>
      <c r="B40" s="1" t="s">
        <v>31</v>
      </c>
      <c r="C40" s="1" t="s">
        <v>32</v>
      </c>
      <c r="D40">
        <v>9200</v>
      </c>
      <c r="E40">
        <v>1</v>
      </c>
      <c r="F40">
        <v>1</v>
      </c>
      <c r="G40" t="b">
        <v>1</v>
      </c>
      <c r="H40" t="b">
        <v>0</v>
      </c>
      <c r="I40" t="b">
        <v>0</v>
      </c>
      <c r="J40" t="b">
        <v>1</v>
      </c>
      <c r="K40" s="1" t="s">
        <v>27</v>
      </c>
      <c r="L40">
        <v>7.2</v>
      </c>
      <c r="M40">
        <v>6</v>
      </c>
      <c r="N40">
        <v>9</v>
      </c>
      <c r="O40" t="b">
        <v>1</v>
      </c>
      <c r="P40" t="b">
        <v>0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0</v>
      </c>
      <c r="W40" t="b">
        <v>1</v>
      </c>
      <c r="X40" t="b">
        <v>0</v>
      </c>
      <c r="Y40" t="e" cm="1">
        <f t="array" aca="1" ref="Y40" ca="1">IF((COUNTIF(CSV假資料__3[[#This Row],[HasAC]:[HasWaterHeater]],"FALSE")+COUTIF(CSV假資料__3[[#This Row],[HasInternet]],"FALSE"))=0,TRUE,FALSE)</f>
        <v>#NAME?</v>
      </c>
    </row>
    <row r="41" spans="1:25" x14ac:dyDescent="0.25">
      <c r="A41" s="1" t="s">
        <v>24</v>
      </c>
      <c r="B41" s="1" t="s">
        <v>33</v>
      </c>
      <c r="C41" s="1" t="s">
        <v>34</v>
      </c>
      <c r="D41">
        <v>6200</v>
      </c>
      <c r="E41">
        <v>1</v>
      </c>
      <c r="F41">
        <v>0</v>
      </c>
      <c r="G41" t="b">
        <v>1</v>
      </c>
      <c r="H41" t="b">
        <v>1</v>
      </c>
      <c r="I41" t="b">
        <v>0</v>
      </c>
      <c r="J41" t="b">
        <v>0</v>
      </c>
      <c r="K41" s="1" t="s">
        <v>30</v>
      </c>
      <c r="L41">
        <v>5.2</v>
      </c>
      <c r="M41">
        <v>1</v>
      </c>
      <c r="N41">
        <v>4</v>
      </c>
      <c r="O41" t="b">
        <v>1</v>
      </c>
      <c r="P41" t="b">
        <v>0</v>
      </c>
      <c r="Q41" t="b">
        <v>0</v>
      </c>
      <c r="R41" t="b">
        <v>1</v>
      </c>
      <c r="S41" t="b">
        <v>1</v>
      </c>
      <c r="T41" t="b">
        <v>1</v>
      </c>
      <c r="U41" t="b">
        <v>1</v>
      </c>
      <c r="V41" t="b">
        <v>0</v>
      </c>
      <c r="W41" t="b">
        <v>0</v>
      </c>
      <c r="X41" t="b">
        <v>0</v>
      </c>
      <c r="Y41" t="e" cm="1">
        <f t="array" aca="1" ref="Y41" ca="1">IF((COUNTIF(CSV假資料__3[[#This Row],[HasAC]:[HasWaterHeater]],"FALSE")+COUTIF(CSV假資料__3[[#This Row],[HasInternet]],"FALSE"))=0,TRUE,FALSE)</f>
        <v>#NAME?</v>
      </c>
    </row>
    <row r="42" spans="1:25" x14ac:dyDescent="0.25">
      <c r="A42" s="1" t="s">
        <v>24</v>
      </c>
      <c r="B42" s="1" t="s">
        <v>35</v>
      </c>
      <c r="C42" s="1" t="s">
        <v>29</v>
      </c>
      <c r="D42">
        <v>32000</v>
      </c>
      <c r="E42">
        <v>2</v>
      </c>
      <c r="F42">
        <v>1</v>
      </c>
      <c r="G42" t="b">
        <v>1</v>
      </c>
      <c r="H42" t="b">
        <v>0</v>
      </c>
      <c r="I42" t="b">
        <v>1</v>
      </c>
      <c r="J42" t="b">
        <v>0</v>
      </c>
      <c r="K42" s="1" t="s">
        <v>27</v>
      </c>
      <c r="L42">
        <v>26</v>
      </c>
      <c r="M42">
        <v>9</v>
      </c>
      <c r="N42">
        <v>14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0</v>
      </c>
      <c r="V42" t="b">
        <v>1</v>
      </c>
      <c r="W42" t="b">
        <v>1</v>
      </c>
      <c r="X42" t="b">
        <v>1</v>
      </c>
      <c r="Y42" t="e" cm="1">
        <f t="array" aca="1" ref="Y42" ca="1">IF((COUNTIF(CSV假資料__3[[#This Row],[HasAC]:[HasWaterHeater]],"FALSE")+COUTIF(CSV假資料__3[[#This Row],[HasInternet]],"FALSE"))=0,TRUE,FALSE)</f>
        <v>#NAME?</v>
      </c>
    </row>
    <row r="43" spans="1:25" x14ac:dyDescent="0.25">
      <c r="A43" s="1" t="s">
        <v>24</v>
      </c>
      <c r="B43" s="1" t="s">
        <v>36</v>
      </c>
      <c r="C43" s="1" t="s">
        <v>26</v>
      </c>
      <c r="D43">
        <v>12500</v>
      </c>
      <c r="E43">
        <v>1</v>
      </c>
      <c r="F43">
        <v>1</v>
      </c>
      <c r="G43" t="b">
        <v>0</v>
      </c>
      <c r="H43" t="b">
        <v>1</v>
      </c>
      <c r="I43" t="b">
        <v>0</v>
      </c>
      <c r="J43" t="b">
        <v>0</v>
      </c>
      <c r="K43" s="1" t="s">
        <v>27</v>
      </c>
      <c r="L43">
        <v>9.1999999999999993</v>
      </c>
      <c r="M43">
        <v>4</v>
      </c>
      <c r="N43">
        <v>8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0</v>
      </c>
      <c r="W43" t="b">
        <v>1</v>
      </c>
      <c r="X43" t="b">
        <v>1</v>
      </c>
      <c r="Y43" t="e" cm="1">
        <f t="array" aca="1" ref="Y43" ca="1">IF((COUNTIF(CSV假資料__3[[#This Row],[HasAC]:[HasWaterHeater]],"FALSE")+COUTIF(CSV假資料__3[[#This Row],[HasInternet]],"FALSE"))=0,TRUE,FALSE)</f>
        <v>#NAME?</v>
      </c>
    </row>
    <row r="44" spans="1:25" x14ac:dyDescent="0.25">
      <c r="A44" s="1" t="s">
        <v>24</v>
      </c>
      <c r="B44" s="1" t="s">
        <v>37</v>
      </c>
      <c r="C44" s="1" t="s">
        <v>29</v>
      </c>
      <c r="D44">
        <v>28000</v>
      </c>
      <c r="E44">
        <v>3</v>
      </c>
      <c r="F44">
        <v>2</v>
      </c>
      <c r="G44" t="b">
        <v>1</v>
      </c>
      <c r="H44" t="b">
        <v>0</v>
      </c>
      <c r="I44" t="b">
        <v>1</v>
      </c>
      <c r="J44" t="b">
        <v>0</v>
      </c>
      <c r="K44" s="1" t="s">
        <v>38</v>
      </c>
      <c r="L44">
        <v>32</v>
      </c>
      <c r="M44">
        <v>1</v>
      </c>
      <c r="N44">
        <v>3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0</v>
      </c>
      <c r="V44" t="b">
        <v>1</v>
      </c>
      <c r="W44" t="b">
        <v>0</v>
      </c>
      <c r="X44" t="b">
        <v>1</v>
      </c>
      <c r="Y44" t="e" cm="1">
        <f t="array" aca="1" ref="Y44" ca="1">IF((COUNTIF(CSV假資料__3[[#This Row],[HasAC]:[HasWaterHeater]],"FALSE")+COUTIF(CSV假資料__3[[#This Row],[HasInternet]],"FALSE"))=0,TRUE,FALSE)</f>
        <v>#NAME?</v>
      </c>
    </row>
    <row r="45" spans="1:25" x14ac:dyDescent="0.25">
      <c r="A45" s="1" t="s">
        <v>24</v>
      </c>
      <c r="B45" s="1" t="s">
        <v>39</v>
      </c>
      <c r="C45" s="1" t="s">
        <v>32</v>
      </c>
      <c r="D45">
        <v>8300</v>
      </c>
      <c r="E45">
        <v>1</v>
      </c>
      <c r="F45">
        <v>1</v>
      </c>
      <c r="G45" t="b">
        <v>0</v>
      </c>
      <c r="H45" t="b">
        <v>1</v>
      </c>
      <c r="I45" t="b">
        <v>0</v>
      </c>
      <c r="J45" t="b">
        <v>0</v>
      </c>
      <c r="K45" s="1" t="s">
        <v>30</v>
      </c>
      <c r="L45">
        <v>6.8</v>
      </c>
      <c r="M45">
        <v>3</v>
      </c>
      <c r="N45">
        <v>5</v>
      </c>
      <c r="O45" t="b">
        <v>1</v>
      </c>
      <c r="P45" t="b">
        <v>0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0</v>
      </c>
      <c r="W45" t="b">
        <v>0</v>
      </c>
      <c r="X45" t="b">
        <v>0</v>
      </c>
      <c r="Y45" t="e" cm="1">
        <f t="array" aca="1" ref="Y45" ca="1">IF((COUNTIF(CSV假資料__3[[#This Row],[HasAC]:[HasWaterHeater]],"FALSE")+COUTIF(CSV假資料__3[[#This Row],[HasInternet]],"FALSE"))=0,TRUE,FALSE)</f>
        <v>#NAME?</v>
      </c>
    </row>
    <row r="46" spans="1:25" x14ac:dyDescent="0.25">
      <c r="A46" s="1" t="s">
        <v>24</v>
      </c>
      <c r="B46" s="1" t="s">
        <v>40</v>
      </c>
      <c r="C46" s="1" t="s">
        <v>34</v>
      </c>
      <c r="D46">
        <v>4900</v>
      </c>
      <c r="E46">
        <v>1</v>
      </c>
      <c r="F46">
        <v>0</v>
      </c>
      <c r="G46" t="b">
        <v>1</v>
      </c>
      <c r="H46" t="b">
        <v>0</v>
      </c>
      <c r="I46" t="b">
        <v>0</v>
      </c>
      <c r="J46" t="b">
        <v>1</v>
      </c>
      <c r="K46" s="1" t="s">
        <v>30</v>
      </c>
      <c r="L46">
        <v>3.9</v>
      </c>
      <c r="M46">
        <v>2</v>
      </c>
      <c r="N46">
        <v>4</v>
      </c>
      <c r="O46" t="b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e" cm="1">
        <f t="array" aca="1" ref="Y46" ca="1">IF((COUNTIF(CSV假資料__3[[#This Row],[HasAC]:[HasWaterHeater]],"FALSE")+COUTIF(CSV假資料__3[[#This Row],[HasInternet]],"FALSE"))=0,TRUE,FALSE)</f>
        <v>#NAME?</v>
      </c>
    </row>
    <row r="47" spans="1:25" x14ac:dyDescent="0.25">
      <c r="A47" s="1" t="s">
        <v>24</v>
      </c>
      <c r="B47" s="1" t="s">
        <v>41</v>
      </c>
      <c r="C47" s="1" t="s">
        <v>26</v>
      </c>
      <c r="D47">
        <v>10500</v>
      </c>
      <c r="E47">
        <v>1</v>
      </c>
      <c r="F47">
        <v>1</v>
      </c>
      <c r="G47" t="b">
        <v>1</v>
      </c>
      <c r="H47" t="b">
        <v>1</v>
      </c>
      <c r="I47" t="b">
        <v>1</v>
      </c>
      <c r="J47" t="b">
        <v>0</v>
      </c>
      <c r="K47" s="1" t="s">
        <v>30</v>
      </c>
      <c r="L47">
        <v>8.5</v>
      </c>
      <c r="M47">
        <v>2</v>
      </c>
      <c r="N47">
        <v>5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  <c r="W47" t="b">
        <v>0</v>
      </c>
      <c r="X47" t="b">
        <v>1</v>
      </c>
      <c r="Y47" t="e" cm="1">
        <f t="array" aca="1" ref="Y47" ca="1">IF((COUNTIF(CSV假資料__3[[#This Row],[HasAC]:[HasWaterHeater]],"FALSE")+COUTIF(CSV假資料__3[[#This Row],[HasInternet]],"FALSE"))=0,TRUE,FALSE)</f>
        <v>#NAME?</v>
      </c>
    </row>
    <row r="48" spans="1:25" x14ac:dyDescent="0.25">
      <c r="A48" s="1" t="s">
        <v>24</v>
      </c>
      <c r="B48" s="1" t="s">
        <v>42</v>
      </c>
      <c r="C48" s="1" t="s">
        <v>29</v>
      </c>
      <c r="D48">
        <v>23000</v>
      </c>
      <c r="E48">
        <v>2</v>
      </c>
      <c r="F48">
        <v>1</v>
      </c>
      <c r="G48" t="b">
        <v>1</v>
      </c>
      <c r="H48" t="b">
        <v>0</v>
      </c>
      <c r="I48" t="b">
        <v>0</v>
      </c>
      <c r="J48" t="b">
        <v>0</v>
      </c>
      <c r="K48" s="1" t="s">
        <v>30</v>
      </c>
      <c r="L48">
        <v>21</v>
      </c>
      <c r="M48">
        <v>4</v>
      </c>
      <c r="N48">
        <v>5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0</v>
      </c>
      <c r="V48" t="b">
        <v>0</v>
      </c>
      <c r="W48" t="b">
        <v>0</v>
      </c>
      <c r="X48" t="b">
        <v>1</v>
      </c>
      <c r="Y48" t="e" cm="1">
        <f t="array" aca="1" ref="Y48" ca="1">IF((COUNTIF(CSV假資料__3[[#This Row],[HasAC]:[HasWaterHeater]],"FALSE")+COUTIF(CSV假資料__3[[#This Row],[HasInternet]],"FALSE"))=0,TRUE,FALSE)</f>
        <v>#NAME?</v>
      </c>
    </row>
    <row r="49" spans="1:25" x14ac:dyDescent="0.25">
      <c r="A49" s="1" t="s">
        <v>24</v>
      </c>
      <c r="B49" s="1" t="s">
        <v>43</v>
      </c>
      <c r="C49" s="1" t="s">
        <v>32</v>
      </c>
      <c r="D49">
        <v>8800</v>
      </c>
      <c r="E49">
        <v>1</v>
      </c>
      <c r="F49">
        <v>1</v>
      </c>
      <c r="G49" t="b">
        <v>1</v>
      </c>
      <c r="H49" t="b">
        <v>1</v>
      </c>
      <c r="I49" t="b">
        <v>0</v>
      </c>
      <c r="J49" t="b">
        <v>0</v>
      </c>
      <c r="K49" s="1" t="s">
        <v>27</v>
      </c>
      <c r="L49">
        <v>7</v>
      </c>
      <c r="M49">
        <v>5</v>
      </c>
      <c r="N49">
        <v>10</v>
      </c>
      <c r="O49" t="b">
        <v>1</v>
      </c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  <c r="W49" t="b">
        <v>1</v>
      </c>
      <c r="X49" t="b">
        <v>0</v>
      </c>
      <c r="Y49" t="e" cm="1">
        <f t="array" aca="1" ref="Y49" ca="1">IF((COUNTIF(CSV假資料__3[[#This Row],[HasAC]:[HasWaterHeater]],"FALSE")+COUTIF(CSV假資料__3[[#This Row],[HasInternet]],"FALSE"))=0,TRUE,FALSE)</f>
        <v>#NAME?</v>
      </c>
    </row>
    <row r="50" spans="1:25" x14ac:dyDescent="0.25">
      <c r="A50" s="1" t="s">
        <v>24</v>
      </c>
      <c r="B50" s="1" t="s">
        <v>25</v>
      </c>
      <c r="C50" s="1" t="s">
        <v>34</v>
      </c>
      <c r="D50">
        <v>6700</v>
      </c>
      <c r="E50">
        <v>1</v>
      </c>
      <c r="F50">
        <v>0</v>
      </c>
      <c r="G50" t="b">
        <v>1</v>
      </c>
      <c r="H50" t="b">
        <v>0</v>
      </c>
      <c r="I50" t="b">
        <v>0</v>
      </c>
      <c r="J50" t="b">
        <v>1</v>
      </c>
      <c r="K50" s="1" t="s">
        <v>30</v>
      </c>
      <c r="L50">
        <v>5.5</v>
      </c>
      <c r="M50">
        <v>3</v>
      </c>
      <c r="N50">
        <v>5</v>
      </c>
      <c r="O50" t="b">
        <v>1</v>
      </c>
      <c r="P50" t="b">
        <v>0</v>
      </c>
      <c r="Q50" t="b">
        <v>0</v>
      </c>
      <c r="R50" t="b">
        <v>1</v>
      </c>
      <c r="S50" t="b">
        <v>1</v>
      </c>
      <c r="T50" t="b">
        <v>1</v>
      </c>
      <c r="U50" t="b">
        <v>1</v>
      </c>
      <c r="V50" t="b">
        <v>0</v>
      </c>
      <c r="W50" t="b">
        <v>0</v>
      </c>
      <c r="X50" t="b">
        <v>0</v>
      </c>
      <c r="Y50" t="e" cm="1">
        <f t="array" aca="1" ref="Y50" ca="1">IF((COUNTIF(CSV假資料__3[[#This Row],[HasAC]:[HasWaterHeater]],"FALSE")+COUTIF(CSV假資料__3[[#This Row],[HasInternet]],"FALSE"))=0,TRUE,FALSE)</f>
        <v>#NAME?</v>
      </c>
    </row>
    <row r="51" spans="1:25" x14ac:dyDescent="0.25">
      <c r="A51" s="1" t="s">
        <v>24</v>
      </c>
      <c r="B51" s="1" t="s">
        <v>28</v>
      </c>
      <c r="C51" s="1" t="s">
        <v>29</v>
      </c>
      <c r="D51">
        <v>52000</v>
      </c>
      <c r="E51">
        <v>4</v>
      </c>
      <c r="F51">
        <v>3</v>
      </c>
      <c r="G51" t="b">
        <v>1</v>
      </c>
      <c r="H51" t="b">
        <v>0</v>
      </c>
      <c r="I51" t="b">
        <v>1</v>
      </c>
      <c r="J51" t="b">
        <v>0</v>
      </c>
      <c r="K51" s="1" t="s">
        <v>27</v>
      </c>
      <c r="L51">
        <v>45</v>
      </c>
      <c r="M51">
        <v>18</v>
      </c>
      <c r="N51">
        <v>25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0</v>
      </c>
      <c r="V51" t="b">
        <v>1</v>
      </c>
      <c r="W51" t="b">
        <v>1</v>
      </c>
      <c r="X51" t="b">
        <v>1</v>
      </c>
      <c r="Y51" t="e" cm="1">
        <f t="array" aca="1" ref="Y51" ca="1">IF((COUNTIF(CSV假資料__3[[#This Row],[HasAC]:[HasWaterHeater]],"FALSE")+COUTIF(CSV假資料__3[[#This Row],[HasInternet]],"FALSE"))=0,TRUE,FALSE)</f>
        <v>#NAME?</v>
      </c>
    </row>
    <row r="52" spans="1:25" x14ac:dyDescent="0.25">
      <c r="A52" s="1" t="s">
        <v>24</v>
      </c>
      <c r="B52" s="1" t="s">
        <v>31</v>
      </c>
      <c r="C52" s="1" t="s">
        <v>26</v>
      </c>
      <c r="D52">
        <v>14500</v>
      </c>
      <c r="E52">
        <v>1</v>
      </c>
      <c r="F52">
        <v>1</v>
      </c>
      <c r="G52" t="b">
        <v>1</v>
      </c>
      <c r="H52" t="b">
        <v>1</v>
      </c>
      <c r="I52" t="b">
        <v>0</v>
      </c>
      <c r="J52" t="b">
        <v>0</v>
      </c>
      <c r="K52" s="1" t="s">
        <v>27</v>
      </c>
      <c r="L52">
        <v>10.5</v>
      </c>
      <c r="M52">
        <v>7</v>
      </c>
      <c r="N52">
        <v>11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0</v>
      </c>
      <c r="W52" t="b">
        <v>1</v>
      </c>
      <c r="X52" t="b">
        <v>1</v>
      </c>
      <c r="Y52" t="e" cm="1">
        <f t="array" aca="1" ref="Y52" ca="1">IF((COUNTIF(CSV假資料__3[[#This Row],[HasAC]:[HasWaterHeater]],"FALSE")+COUTIF(CSV假資料__3[[#This Row],[HasInternet]],"FALSE"))=0,TRUE,FALSE)</f>
        <v>#NAME?</v>
      </c>
    </row>
    <row r="53" spans="1:25" x14ac:dyDescent="0.25">
      <c r="A53" s="1" t="s">
        <v>24</v>
      </c>
      <c r="B53" s="1" t="s">
        <v>33</v>
      </c>
      <c r="C53" s="1" t="s">
        <v>32</v>
      </c>
      <c r="D53">
        <v>9800</v>
      </c>
      <c r="E53">
        <v>1</v>
      </c>
      <c r="F53">
        <v>1</v>
      </c>
      <c r="G53" t="b">
        <v>1</v>
      </c>
      <c r="H53" t="b">
        <v>0</v>
      </c>
      <c r="I53" t="b">
        <v>1</v>
      </c>
      <c r="J53" t="b">
        <v>1</v>
      </c>
      <c r="K53" s="1" t="s">
        <v>27</v>
      </c>
      <c r="L53">
        <v>8</v>
      </c>
      <c r="M53">
        <v>4</v>
      </c>
      <c r="N53">
        <v>7</v>
      </c>
      <c r="O53" t="b">
        <v>1</v>
      </c>
      <c r="P53" t="b">
        <v>0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  <c r="W53" t="b">
        <v>1</v>
      </c>
      <c r="X53" t="b">
        <v>0</v>
      </c>
      <c r="Y53" t="e" cm="1">
        <f t="array" aca="1" ref="Y53" ca="1">IF((COUNTIF(CSV假資料__3[[#This Row],[HasAC]:[HasWaterHeater]],"FALSE")+COUTIF(CSV假資料__3[[#This Row],[HasInternet]],"FALSE"))=0,TRUE,FALSE)</f>
        <v>#NAME?</v>
      </c>
    </row>
    <row r="54" spans="1:25" x14ac:dyDescent="0.25">
      <c r="A54" s="1" t="s">
        <v>24</v>
      </c>
      <c r="B54" s="1" t="s">
        <v>35</v>
      </c>
      <c r="C54" s="1" t="s">
        <v>34</v>
      </c>
      <c r="D54">
        <v>5400</v>
      </c>
      <c r="E54">
        <v>1</v>
      </c>
      <c r="F54">
        <v>0</v>
      </c>
      <c r="G54" t="b">
        <v>1</v>
      </c>
      <c r="H54" t="b">
        <v>1</v>
      </c>
      <c r="I54" t="b">
        <v>0</v>
      </c>
      <c r="J54" t="b">
        <v>0</v>
      </c>
      <c r="K54" s="1" t="s">
        <v>30</v>
      </c>
      <c r="L54">
        <v>4.5999999999999996</v>
      </c>
      <c r="M54">
        <v>2</v>
      </c>
      <c r="N54">
        <v>4</v>
      </c>
      <c r="O54" t="b">
        <v>1</v>
      </c>
      <c r="P54" t="b">
        <v>0</v>
      </c>
      <c r="Q54" t="b">
        <v>0</v>
      </c>
      <c r="R54" t="b">
        <v>1</v>
      </c>
      <c r="S54" t="b">
        <v>1</v>
      </c>
      <c r="T54" t="b">
        <v>1</v>
      </c>
      <c r="U54" t="b">
        <v>1</v>
      </c>
      <c r="V54" t="b">
        <v>0</v>
      </c>
      <c r="W54" t="b">
        <v>0</v>
      </c>
      <c r="X54" t="b">
        <v>0</v>
      </c>
      <c r="Y54" t="e" cm="1">
        <f t="array" aca="1" ref="Y54" ca="1">IF((COUNTIF(CSV假資料__3[[#This Row],[HasAC]:[HasWaterHeater]],"FALSE")+COUTIF(CSV假資料__3[[#This Row],[HasInternet]],"FALSE"))=0,TRUE,FALSE)</f>
        <v>#NAME?</v>
      </c>
    </row>
    <row r="55" spans="1:25" x14ac:dyDescent="0.25">
      <c r="A55" s="1" t="s">
        <v>24</v>
      </c>
      <c r="B55" s="1" t="s">
        <v>36</v>
      </c>
      <c r="C55" s="1" t="s">
        <v>29</v>
      </c>
      <c r="D55">
        <v>36000</v>
      </c>
      <c r="E55">
        <v>3</v>
      </c>
      <c r="F55">
        <v>2</v>
      </c>
      <c r="G55" t="b">
        <v>0</v>
      </c>
      <c r="H55" t="b">
        <v>0</v>
      </c>
      <c r="I55" t="b">
        <v>1</v>
      </c>
      <c r="J55" t="b">
        <v>0</v>
      </c>
      <c r="K55" s="1" t="s">
        <v>27</v>
      </c>
      <c r="L55">
        <v>31</v>
      </c>
      <c r="M55">
        <v>6</v>
      </c>
      <c r="N55">
        <v>12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0</v>
      </c>
      <c r="V55" t="b">
        <v>1</v>
      </c>
      <c r="W55" t="b">
        <v>1</v>
      </c>
      <c r="X55" t="b">
        <v>1</v>
      </c>
      <c r="Y55" t="e" cm="1">
        <f t="array" aca="1" ref="Y55" ca="1">IF((COUNTIF(CSV假資料__3[[#This Row],[HasAC]:[HasWaterHeater]],"FALSE")+COUTIF(CSV假資料__3[[#This Row],[HasInternet]],"FALSE"))=0,TRUE,FALSE)</f>
        <v>#NAME?</v>
      </c>
    </row>
    <row r="56" spans="1:25" x14ac:dyDescent="0.25">
      <c r="A56" s="1" t="s">
        <v>24</v>
      </c>
      <c r="B56" s="1" t="s">
        <v>37</v>
      </c>
      <c r="C56" s="1" t="s">
        <v>26</v>
      </c>
      <c r="D56">
        <v>11500</v>
      </c>
      <c r="E56">
        <v>1</v>
      </c>
      <c r="F56">
        <v>1</v>
      </c>
      <c r="G56" t="b">
        <v>1</v>
      </c>
      <c r="H56" t="b">
        <v>1</v>
      </c>
      <c r="I56" t="b">
        <v>0</v>
      </c>
      <c r="J56" t="b">
        <v>0</v>
      </c>
      <c r="K56" s="1" t="s">
        <v>30</v>
      </c>
      <c r="L56">
        <v>9.8000000000000007</v>
      </c>
      <c r="M56">
        <v>3</v>
      </c>
      <c r="N56">
        <v>5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0</v>
      </c>
      <c r="W56" t="b">
        <v>0</v>
      </c>
      <c r="X56" t="b">
        <v>1</v>
      </c>
      <c r="Y56" t="e" cm="1">
        <f t="array" aca="1" ref="Y56" ca="1">IF((COUNTIF(CSV假資料__3[[#This Row],[HasAC]:[HasWaterHeater]],"FALSE")+COUTIF(CSV假資料__3[[#This Row],[HasInternet]],"FALSE"))=0,TRUE,FALSE)</f>
        <v>#NAME?</v>
      </c>
    </row>
    <row r="57" spans="1:25" x14ac:dyDescent="0.25">
      <c r="A57" s="1" t="s">
        <v>24</v>
      </c>
      <c r="B57" s="1" t="s">
        <v>39</v>
      </c>
      <c r="C57" s="1" t="s">
        <v>32</v>
      </c>
      <c r="D57">
        <v>7600</v>
      </c>
      <c r="E57">
        <v>1</v>
      </c>
      <c r="F57">
        <v>1</v>
      </c>
      <c r="G57" t="b">
        <v>0</v>
      </c>
      <c r="H57" t="b">
        <v>0</v>
      </c>
      <c r="I57" t="b">
        <v>0</v>
      </c>
      <c r="J57" t="b">
        <v>0</v>
      </c>
      <c r="K57" s="1" t="s">
        <v>30</v>
      </c>
      <c r="L57">
        <v>6.3</v>
      </c>
      <c r="M57">
        <v>4</v>
      </c>
      <c r="N57">
        <v>5</v>
      </c>
      <c r="O57" t="b">
        <v>1</v>
      </c>
      <c r="P57" t="b">
        <v>0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  <c r="W57" t="b">
        <v>0</v>
      </c>
      <c r="X57" t="b">
        <v>0</v>
      </c>
      <c r="Y57" t="e" cm="1">
        <f t="array" aca="1" ref="Y57" ca="1">IF((COUNTIF(CSV假資料__3[[#This Row],[HasAC]:[HasWaterHeater]],"FALSE")+COUTIF(CSV假資料__3[[#This Row],[HasInternet]],"FALSE"))=0,TRUE,FALSE)</f>
        <v>#NAME?</v>
      </c>
    </row>
    <row r="58" spans="1:25" x14ac:dyDescent="0.25">
      <c r="A58" s="1" t="s">
        <v>24</v>
      </c>
      <c r="B58" s="1" t="s">
        <v>40</v>
      </c>
      <c r="C58" s="1" t="s">
        <v>34</v>
      </c>
      <c r="D58">
        <v>4700</v>
      </c>
      <c r="E58">
        <v>1</v>
      </c>
      <c r="F58">
        <v>0</v>
      </c>
      <c r="G58" t="b">
        <v>1</v>
      </c>
      <c r="H58" t="b">
        <v>1</v>
      </c>
      <c r="I58" t="b">
        <v>1</v>
      </c>
      <c r="J58" t="b">
        <v>1</v>
      </c>
      <c r="K58" s="1" t="s">
        <v>30</v>
      </c>
      <c r="L58">
        <v>3.7</v>
      </c>
      <c r="M58">
        <v>1</v>
      </c>
      <c r="N58">
        <v>4</v>
      </c>
      <c r="O58" t="b">
        <v>0</v>
      </c>
      <c r="P58" t="b">
        <v>0</v>
      </c>
      <c r="Q58" t="b">
        <v>0</v>
      </c>
      <c r="R58" t="b">
        <v>1</v>
      </c>
      <c r="S58" t="b">
        <v>1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e" cm="1">
        <f t="array" aca="1" ref="Y58" ca="1">IF((COUNTIF(CSV假資料__3[[#This Row],[HasAC]:[HasWaterHeater]],"FALSE")+COUTIF(CSV假資料__3[[#This Row],[HasInternet]],"FALSE"))=0,TRUE,FALSE)</f>
        <v>#NAME?</v>
      </c>
    </row>
    <row r="59" spans="1:25" x14ac:dyDescent="0.25">
      <c r="A59" s="1" t="s">
        <v>24</v>
      </c>
      <c r="B59" s="1" t="s">
        <v>41</v>
      </c>
      <c r="C59" s="1" t="s">
        <v>29</v>
      </c>
      <c r="D59">
        <v>19500</v>
      </c>
      <c r="E59">
        <v>1</v>
      </c>
      <c r="F59">
        <v>1</v>
      </c>
      <c r="G59" t="b">
        <v>1</v>
      </c>
      <c r="H59" t="b">
        <v>0</v>
      </c>
      <c r="I59" t="b">
        <v>0</v>
      </c>
      <c r="J59" t="b">
        <v>0</v>
      </c>
      <c r="K59" s="1" t="s">
        <v>30</v>
      </c>
      <c r="L59">
        <v>16</v>
      </c>
      <c r="M59">
        <v>2</v>
      </c>
      <c r="N59">
        <v>5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0</v>
      </c>
      <c r="V59" t="b">
        <v>0</v>
      </c>
      <c r="W59" t="b">
        <v>0</v>
      </c>
      <c r="X59" t="b">
        <v>1</v>
      </c>
      <c r="Y59" t="e" cm="1">
        <f t="array" aca="1" ref="Y59" ca="1">IF((COUNTIF(CSV假資料__3[[#This Row],[HasAC]:[HasWaterHeater]],"FALSE")+COUTIF(CSV假資料__3[[#This Row],[HasInternet]],"FALSE"))=0,TRUE,FALSE)</f>
        <v>#NAME?</v>
      </c>
    </row>
    <row r="60" spans="1:25" x14ac:dyDescent="0.25">
      <c r="A60" s="1" t="s">
        <v>24</v>
      </c>
      <c r="B60" s="1" t="s">
        <v>42</v>
      </c>
      <c r="C60" s="1" t="s">
        <v>26</v>
      </c>
      <c r="D60">
        <v>12800</v>
      </c>
      <c r="E60">
        <v>1</v>
      </c>
      <c r="F60">
        <v>1</v>
      </c>
      <c r="G60" t="b">
        <v>1</v>
      </c>
      <c r="H60" t="b">
        <v>1</v>
      </c>
      <c r="I60" t="b">
        <v>0</v>
      </c>
      <c r="J60" t="b">
        <v>0</v>
      </c>
      <c r="K60" s="1" t="s">
        <v>27</v>
      </c>
      <c r="L60">
        <v>9</v>
      </c>
      <c r="M60">
        <v>5</v>
      </c>
      <c r="N60">
        <v>8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0</v>
      </c>
      <c r="W60" t="b">
        <v>1</v>
      </c>
      <c r="X60" t="b">
        <v>1</v>
      </c>
      <c r="Y60" t="e" cm="1">
        <f t="array" aca="1" ref="Y60" ca="1">IF((COUNTIF(CSV假資料__3[[#This Row],[HasAC]:[HasWaterHeater]],"FALSE")+COUTIF(CSV假資料__3[[#This Row],[HasInternet]],"FALSE"))=0,TRUE,FALSE)</f>
        <v>#NAME?</v>
      </c>
    </row>
    <row r="61" spans="1:25" x14ac:dyDescent="0.25">
      <c r="A61" s="1" t="s">
        <v>24</v>
      </c>
      <c r="B61" s="1" t="s">
        <v>43</v>
      </c>
      <c r="C61" s="1" t="s">
        <v>32</v>
      </c>
      <c r="D61">
        <v>8100</v>
      </c>
      <c r="E61">
        <v>1</v>
      </c>
      <c r="F61">
        <v>1</v>
      </c>
      <c r="G61" t="b">
        <v>1</v>
      </c>
      <c r="H61" t="b">
        <v>0</v>
      </c>
      <c r="I61" t="b">
        <v>0</v>
      </c>
      <c r="J61" t="b">
        <v>1</v>
      </c>
      <c r="K61" s="1" t="s">
        <v>30</v>
      </c>
      <c r="L61">
        <v>6.5</v>
      </c>
      <c r="M61">
        <v>3</v>
      </c>
      <c r="N61">
        <v>5</v>
      </c>
      <c r="O61" t="b">
        <v>1</v>
      </c>
      <c r="P61" t="b">
        <v>0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0</v>
      </c>
      <c r="W61" t="b">
        <v>0</v>
      </c>
      <c r="X61" t="b">
        <v>0</v>
      </c>
      <c r="Y61" t="e" cm="1">
        <f t="array" aca="1" ref="Y61" ca="1">IF((COUNTIF(CSV假資料__3[[#This Row],[HasAC]:[HasWaterHeater]],"FALSE")+COUTIF(CSV假資料__3[[#This Row],[HasInternet]],"FALSE"))=0,TRUE,FALSE)</f>
        <v>#NAME?</v>
      </c>
    </row>
    <row r="62" spans="1:25" x14ac:dyDescent="0.25">
      <c r="A62" s="1" t="s">
        <v>24</v>
      </c>
      <c r="B62" s="1" t="s">
        <v>25</v>
      </c>
      <c r="C62" s="1" t="s">
        <v>34</v>
      </c>
      <c r="D62">
        <v>7100</v>
      </c>
      <c r="E62">
        <v>1</v>
      </c>
      <c r="F62">
        <v>0</v>
      </c>
      <c r="G62" t="b">
        <v>1</v>
      </c>
      <c r="H62" t="b">
        <v>1</v>
      </c>
      <c r="I62" t="b">
        <v>0</v>
      </c>
      <c r="J62" t="b">
        <v>0</v>
      </c>
      <c r="K62" s="1" t="s">
        <v>30</v>
      </c>
      <c r="L62">
        <v>5.8</v>
      </c>
      <c r="M62">
        <v>4</v>
      </c>
      <c r="N62">
        <v>5</v>
      </c>
      <c r="O62" t="b">
        <v>1</v>
      </c>
      <c r="P62" t="b">
        <v>0</v>
      </c>
      <c r="Q62" t="b">
        <v>0</v>
      </c>
      <c r="R62" t="b">
        <v>1</v>
      </c>
      <c r="S62" t="b">
        <v>1</v>
      </c>
      <c r="T62" t="b">
        <v>1</v>
      </c>
      <c r="U62" t="b">
        <v>1</v>
      </c>
      <c r="V62" t="b">
        <v>0</v>
      </c>
      <c r="W62" t="b">
        <v>0</v>
      </c>
      <c r="X62" t="b">
        <v>0</v>
      </c>
      <c r="Y62" t="e" cm="1">
        <f t="array" aca="1" ref="Y62" ca="1">IF((COUNTIF(CSV假資料__3[[#This Row],[HasAC]:[HasWaterHeater]],"FALSE")+COUTIF(CSV假資料__3[[#This Row],[HasInternet]],"FALSE"))=0,TRUE,FALSE)</f>
        <v>#NAME?</v>
      </c>
    </row>
    <row r="63" spans="1:25" x14ac:dyDescent="0.25">
      <c r="A63" s="1" t="s">
        <v>24</v>
      </c>
      <c r="B63" s="1" t="s">
        <v>28</v>
      </c>
      <c r="C63" s="1" t="s">
        <v>29</v>
      </c>
      <c r="D63">
        <v>58000</v>
      </c>
      <c r="E63">
        <v>5</v>
      </c>
      <c r="F63">
        <v>3</v>
      </c>
      <c r="G63" t="b">
        <v>1</v>
      </c>
      <c r="H63" t="b">
        <v>0</v>
      </c>
      <c r="I63" t="b">
        <v>1</v>
      </c>
      <c r="J63" t="b">
        <v>0</v>
      </c>
      <c r="K63" s="1" t="s">
        <v>27</v>
      </c>
      <c r="L63">
        <v>50</v>
      </c>
      <c r="M63">
        <v>20</v>
      </c>
      <c r="N63">
        <v>25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0</v>
      </c>
      <c r="V63" t="b">
        <v>1</v>
      </c>
      <c r="W63" t="b">
        <v>1</v>
      </c>
      <c r="X63" t="b">
        <v>1</v>
      </c>
      <c r="Y63" t="e" cm="1">
        <f t="array" aca="1" ref="Y63" ca="1">IF((COUNTIF(CSV假資料__3[[#This Row],[HasAC]:[HasWaterHeater]],"FALSE")+COUTIF(CSV假資料__3[[#This Row],[HasInternet]],"FALSE"))=0,TRUE,FALSE)</f>
        <v>#NAME?</v>
      </c>
    </row>
    <row r="64" spans="1:25" x14ac:dyDescent="0.25">
      <c r="A64" s="1" t="s">
        <v>24</v>
      </c>
      <c r="B64" s="1" t="s">
        <v>31</v>
      </c>
      <c r="C64" s="1" t="s">
        <v>26</v>
      </c>
      <c r="D64">
        <v>15500</v>
      </c>
      <c r="E64">
        <v>1</v>
      </c>
      <c r="F64">
        <v>1</v>
      </c>
      <c r="G64" t="b">
        <v>1</v>
      </c>
      <c r="H64" t="b">
        <v>1</v>
      </c>
      <c r="I64" t="b">
        <v>1</v>
      </c>
      <c r="J64" t="b">
        <v>0</v>
      </c>
      <c r="K64" s="1" t="s">
        <v>27</v>
      </c>
      <c r="L64">
        <v>11.5</v>
      </c>
      <c r="M64">
        <v>9</v>
      </c>
      <c r="N64">
        <v>13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0</v>
      </c>
      <c r="W64" t="b">
        <v>1</v>
      </c>
      <c r="X64" t="b">
        <v>1</v>
      </c>
      <c r="Y64" t="e" cm="1">
        <f t="array" aca="1" ref="Y64" ca="1">IF((COUNTIF(CSV假資料__3[[#This Row],[HasAC]:[HasWaterHeater]],"FALSE")+COUTIF(CSV假資料__3[[#This Row],[HasInternet]],"FALSE"))=0,TRUE,FALSE)</f>
        <v>#NAME?</v>
      </c>
    </row>
    <row r="65" spans="1:25" x14ac:dyDescent="0.25">
      <c r="A65" s="1" t="s">
        <v>24</v>
      </c>
      <c r="B65" s="1" t="s">
        <v>33</v>
      </c>
      <c r="C65" s="1" t="s">
        <v>32</v>
      </c>
      <c r="D65">
        <v>10500</v>
      </c>
      <c r="E65">
        <v>1</v>
      </c>
      <c r="F65">
        <v>1</v>
      </c>
      <c r="G65" t="b">
        <v>1</v>
      </c>
      <c r="H65" t="b">
        <v>0</v>
      </c>
      <c r="I65" t="b">
        <v>0</v>
      </c>
      <c r="J65" t="b">
        <v>1</v>
      </c>
      <c r="K65" s="1" t="s">
        <v>27</v>
      </c>
      <c r="L65">
        <v>8.5</v>
      </c>
      <c r="M65">
        <v>5</v>
      </c>
      <c r="N65">
        <v>8</v>
      </c>
      <c r="O65" t="b">
        <v>1</v>
      </c>
      <c r="P65" t="b">
        <v>0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0</v>
      </c>
      <c r="W65" t="b">
        <v>1</v>
      </c>
      <c r="X65" t="b">
        <v>0</v>
      </c>
      <c r="Y65" t="e" cm="1">
        <f t="array" aca="1" ref="Y65" ca="1">IF((COUNTIF(CSV假資料__3[[#This Row],[HasAC]:[HasWaterHeater]],"FALSE")+COUTIF(CSV假資料__3[[#This Row],[HasInternet]],"FALSE"))=0,TRUE,FALSE)</f>
        <v>#NAME?</v>
      </c>
    </row>
    <row r="66" spans="1:25" x14ac:dyDescent="0.25">
      <c r="A66" s="1" t="s">
        <v>24</v>
      </c>
      <c r="B66" s="1" t="s">
        <v>35</v>
      </c>
      <c r="C66" s="1" t="s">
        <v>34</v>
      </c>
      <c r="D66">
        <v>5900</v>
      </c>
      <c r="E66">
        <v>1</v>
      </c>
      <c r="F66">
        <v>0</v>
      </c>
      <c r="G66" t="b">
        <v>1</v>
      </c>
      <c r="H66" t="b">
        <v>1</v>
      </c>
      <c r="I66" t="b">
        <v>0</v>
      </c>
      <c r="J66" t="b">
        <v>0</v>
      </c>
      <c r="K66" s="1" t="s">
        <v>30</v>
      </c>
      <c r="L66">
        <v>4.9000000000000004</v>
      </c>
      <c r="M66">
        <v>2</v>
      </c>
      <c r="N66">
        <v>4</v>
      </c>
      <c r="O66" t="b">
        <v>1</v>
      </c>
      <c r="P66" t="b">
        <v>0</v>
      </c>
      <c r="Q66" t="b">
        <v>0</v>
      </c>
      <c r="R66" t="b">
        <v>1</v>
      </c>
      <c r="S66" t="b">
        <v>1</v>
      </c>
      <c r="T66" t="b">
        <v>1</v>
      </c>
      <c r="U66" t="b">
        <v>1</v>
      </c>
      <c r="V66" t="b">
        <v>0</v>
      </c>
      <c r="W66" t="b">
        <v>0</v>
      </c>
      <c r="X66" t="b">
        <v>0</v>
      </c>
      <c r="Y66" t="e" cm="1">
        <f t="array" aca="1" ref="Y66" ca="1">IF((COUNTIF(CSV假資料__3[[#This Row],[HasAC]:[HasWaterHeater]],"FALSE")+COUTIF(CSV假資料__3[[#This Row],[HasInternet]],"FALSE"))=0,TRUE,FALSE)</f>
        <v>#NAME?</v>
      </c>
    </row>
    <row r="67" spans="1:25" x14ac:dyDescent="0.25">
      <c r="A67" s="1" t="s">
        <v>24</v>
      </c>
      <c r="B67" s="1" t="s">
        <v>36</v>
      </c>
      <c r="C67" s="1" t="s">
        <v>29</v>
      </c>
      <c r="D67">
        <v>40000</v>
      </c>
      <c r="E67">
        <v>4</v>
      </c>
      <c r="F67">
        <v>2</v>
      </c>
      <c r="G67" t="b">
        <v>0</v>
      </c>
      <c r="H67" t="b">
        <v>0</v>
      </c>
      <c r="I67" t="b">
        <v>1</v>
      </c>
      <c r="J67" t="b">
        <v>0</v>
      </c>
      <c r="K67" s="1" t="s">
        <v>27</v>
      </c>
      <c r="L67">
        <v>35</v>
      </c>
      <c r="M67">
        <v>7</v>
      </c>
      <c r="N67">
        <v>12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0</v>
      </c>
      <c r="V67" t="b">
        <v>1</v>
      </c>
      <c r="W67" t="b">
        <v>1</v>
      </c>
      <c r="X67" t="b">
        <v>1</v>
      </c>
      <c r="Y67" t="e" cm="1">
        <f t="array" aca="1" ref="Y67" ca="1">IF((COUNTIF(CSV假資料__3[[#This Row],[HasAC]:[HasWaterHeater]],"FALSE")+COUTIF(CSV假資料__3[[#This Row],[HasInternet]],"FALSE"))=0,TRUE,FALSE)</f>
        <v>#NAME?</v>
      </c>
    </row>
    <row r="68" spans="1:25" x14ac:dyDescent="0.25">
      <c r="A68" s="1" t="s">
        <v>24</v>
      </c>
      <c r="B68" s="1" t="s">
        <v>37</v>
      </c>
      <c r="C68" s="1" t="s">
        <v>26</v>
      </c>
      <c r="D68">
        <v>13500</v>
      </c>
      <c r="E68">
        <v>1</v>
      </c>
      <c r="F68">
        <v>1</v>
      </c>
      <c r="G68" t="b">
        <v>1</v>
      </c>
      <c r="H68" t="b">
        <v>1</v>
      </c>
      <c r="I68" t="b">
        <v>0</v>
      </c>
      <c r="J68" t="b">
        <v>0</v>
      </c>
      <c r="K68" s="1" t="s">
        <v>30</v>
      </c>
      <c r="L68">
        <v>10.199999999999999</v>
      </c>
      <c r="M68">
        <v>4</v>
      </c>
      <c r="N68">
        <v>5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0</v>
      </c>
      <c r="W68" t="b">
        <v>0</v>
      </c>
      <c r="X68" t="b">
        <v>1</v>
      </c>
      <c r="Y68" t="e" cm="1">
        <f t="array" aca="1" ref="Y68" ca="1">IF((COUNTIF(CSV假資料__3[[#This Row],[HasAC]:[HasWaterHeater]],"FALSE")+COUTIF(CSV假資料__3[[#This Row],[HasInternet]],"FALSE"))=0,TRUE,FALSE)</f>
        <v>#NAME?</v>
      </c>
    </row>
    <row r="69" spans="1:25" x14ac:dyDescent="0.25">
      <c r="A69" s="1" t="s">
        <v>24</v>
      </c>
      <c r="B69" s="1" t="s">
        <v>39</v>
      </c>
      <c r="C69" s="1" t="s">
        <v>32</v>
      </c>
      <c r="D69">
        <v>7900</v>
      </c>
      <c r="E69">
        <v>1</v>
      </c>
      <c r="F69">
        <v>1</v>
      </c>
      <c r="G69" t="b">
        <v>0</v>
      </c>
      <c r="H69" t="b">
        <v>0</v>
      </c>
      <c r="I69" t="b">
        <v>1</v>
      </c>
      <c r="J69" t="b">
        <v>0</v>
      </c>
      <c r="K69" s="1" t="s">
        <v>30</v>
      </c>
      <c r="L69">
        <v>6</v>
      </c>
      <c r="M69">
        <v>3</v>
      </c>
      <c r="N69">
        <v>5</v>
      </c>
      <c r="O69" t="b">
        <v>1</v>
      </c>
      <c r="P69" t="b">
        <v>0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0</v>
      </c>
      <c r="W69" t="b">
        <v>0</v>
      </c>
      <c r="X69" t="b">
        <v>0</v>
      </c>
      <c r="Y69" t="e" cm="1">
        <f t="array" aca="1" ref="Y69" ca="1">IF((COUNTIF(CSV假資料__3[[#This Row],[HasAC]:[HasWaterHeater]],"FALSE")+COUTIF(CSV假資料__3[[#This Row],[HasInternet]],"FALSE"))=0,TRUE,FALSE)</f>
        <v>#NAME?</v>
      </c>
    </row>
    <row r="70" spans="1:25" x14ac:dyDescent="0.25">
      <c r="A70" s="1" t="s">
        <v>24</v>
      </c>
      <c r="B70" s="1" t="s">
        <v>40</v>
      </c>
      <c r="C70" s="1" t="s">
        <v>34</v>
      </c>
      <c r="D70">
        <v>4600</v>
      </c>
      <c r="E70">
        <v>1</v>
      </c>
      <c r="F70">
        <v>0</v>
      </c>
      <c r="G70" t="b">
        <v>1</v>
      </c>
      <c r="H70" t="b">
        <v>1</v>
      </c>
      <c r="I70" t="b">
        <v>0</v>
      </c>
      <c r="J70" t="b">
        <v>1</v>
      </c>
      <c r="K70" s="1" t="s">
        <v>30</v>
      </c>
      <c r="L70">
        <v>3.5</v>
      </c>
      <c r="M70">
        <v>1</v>
      </c>
      <c r="N70">
        <v>4</v>
      </c>
      <c r="O70" t="b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e" cm="1">
        <f t="array" aca="1" ref="Y70" ca="1">IF((COUNTIF(CSV假資料__3[[#This Row],[HasAC]:[HasWaterHeater]],"FALSE")+COUTIF(CSV假資料__3[[#This Row],[HasInternet]],"FALSE"))=0,TRUE,FALSE)</f>
        <v>#NAME?</v>
      </c>
    </row>
    <row r="71" spans="1:25" x14ac:dyDescent="0.25">
      <c r="A71" s="1" t="s">
        <v>24</v>
      </c>
      <c r="B71" s="1" t="s">
        <v>41</v>
      </c>
      <c r="C71" s="1" t="s">
        <v>29</v>
      </c>
      <c r="D71">
        <v>21000</v>
      </c>
      <c r="E71">
        <v>2</v>
      </c>
      <c r="F71">
        <v>1</v>
      </c>
      <c r="G71" t="b">
        <v>1</v>
      </c>
      <c r="H71" t="b">
        <v>0</v>
      </c>
      <c r="I71" t="b">
        <v>0</v>
      </c>
      <c r="J71" t="b">
        <v>0</v>
      </c>
      <c r="K71" s="1" t="s">
        <v>30</v>
      </c>
      <c r="L71">
        <v>18</v>
      </c>
      <c r="M71">
        <v>3</v>
      </c>
      <c r="N71">
        <v>5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0</v>
      </c>
      <c r="V71" t="b">
        <v>0</v>
      </c>
      <c r="W71" t="b">
        <v>0</v>
      </c>
      <c r="X71" t="b">
        <v>1</v>
      </c>
      <c r="Y71" t="e" cm="1">
        <f t="array" aca="1" ref="Y71" ca="1">IF((COUNTIF(CSV假資料__3[[#This Row],[HasAC]:[HasWaterHeater]],"FALSE")+COUTIF(CSV假資料__3[[#This Row],[HasInternet]],"FALSE"))=0,TRUE,FALSE)</f>
        <v>#NAME?</v>
      </c>
    </row>
    <row r="72" spans="1:25" x14ac:dyDescent="0.25">
      <c r="A72" s="1" t="s">
        <v>24</v>
      </c>
      <c r="B72" s="1" t="s">
        <v>42</v>
      </c>
      <c r="C72" s="1" t="s">
        <v>26</v>
      </c>
      <c r="D72">
        <v>14200</v>
      </c>
      <c r="E72">
        <v>1</v>
      </c>
      <c r="F72">
        <v>1</v>
      </c>
      <c r="G72" t="b">
        <v>1</v>
      </c>
      <c r="H72" t="b">
        <v>1</v>
      </c>
      <c r="I72" t="b">
        <v>1</v>
      </c>
      <c r="J72" t="b">
        <v>0</v>
      </c>
      <c r="K72" s="1" t="s">
        <v>27</v>
      </c>
      <c r="L72">
        <v>10.8</v>
      </c>
      <c r="M72">
        <v>6</v>
      </c>
      <c r="N72">
        <v>10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0</v>
      </c>
      <c r="W72" t="b">
        <v>1</v>
      </c>
      <c r="X72" t="b">
        <v>1</v>
      </c>
      <c r="Y72" t="e" cm="1">
        <f t="array" aca="1" ref="Y72" ca="1">IF((COUNTIF(CSV假資料__3[[#This Row],[HasAC]:[HasWaterHeater]],"FALSE")+COUTIF(CSV假資料__3[[#This Row],[HasInternet]],"FALSE"))=0,TRUE,FALSE)</f>
        <v>#NAME?</v>
      </c>
    </row>
    <row r="73" spans="1:25" x14ac:dyDescent="0.25">
      <c r="A73" s="1" t="s">
        <v>24</v>
      </c>
      <c r="B73" s="1" t="s">
        <v>43</v>
      </c>
      <c r="C73" s="1" t="s">
        <v>32</v>
      </c>
      <c r="D73">
        <v>8700</v>
      </c>
      <c r="E73">
        <v>1</v>
      </c>
      <c r="F73">
        <v>1</v>
      </c>
      <c r="G73" t="b">
        <v>1</v>
      </c>
      <c r="H73" t="b">
        <v>0</v>
      </c>
      <c r="I73" t="b">
        <v>0</v>
      </c>
      <c r="J73" t="b">
        <v>1</v>
      </c>
      <c r="K73" s="1" t="s">
        <v>30</v>
      </c>
      <c r="L73">
        <v>6.7</v>
      </c>
      <c r="M73">
        <v>4</v>
      </c>
      <c r="N73">
        <v>5</v>
      </c>
      <c r="O73" t="b">
        <v>1</v>
      </c>
      <c r="P73" t="b">
        <v>0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0</v>
      </c>
      <c r="W73" t="b">
        <v>0</v>
      </c>
      <c r="X73" t="b">
        <v>0</v>
      </c>
      <c r="Y73" t="e" cm="1">
        <f t="array" aca="1" ref="Y73" ca="1">IF((COUNTIF(CSV假資料__3[[#This Row],[HasAC]:[HasWaterHeater]],"FALSE")+COUTIF(CSV假資料__3[[#This Row],[HasInternet]],"FALSE"))=0,TRUE,FALSE)</f>
        <v>#NAME?</v>
      </c>
    </row>
    <row r="74" spans="1:25" x14ac:dyDescent="0.25">
      <c r="A74" s="1" t="s">
        <v>24</v>
      </c>
      <c r="B74" s="1" t="s">
        <v>25</v>
      </c>
      <c r="C74" s="1" t="s">
        <v>34</v>
      </c>
      <c r="D74">
        <v>6800</v>
      </c>
      <c r="E74">
        <v>1</v>
      </c>
      <c r="F74">
        <v>0</v>
      </c>
      <c r="G74" t="b">
        <v>1</v>
      </c>
      <c r="H74" t="b">
        <v>1</v>
      </c>
      <c r="I74" t="b">
        <v>0</v>
      </c>
      <c r="J74" t="b">
        <v>0</v>
      </c>
      <c r="K74" s="1" t="s">
        <v>30</v>
      </c>
      <c r="L74">
        <v>5.3</v>
      </c>
      <c r="M74">
        <v>3</v>
      </c>
      <c r="N74">
        <v>5</v>
      </c>
      <c r="O74" t="b">
        <v>1</v>
      </c>
      <c r="P74" t="b">
        <v>0</v>
      </c>
      <c r="Q74" t="b">
        <v>0</v>
      </c>
      <c r="R74" t="b">
        <v>1</v>
      </c>
      <c r="S74" t="b">
        <v>1</v>
      </c>
      <c r="T74" t="b">
        <v>1</v>
      </c>
      <c r="U74" t="b">
        <v>1</v>
      </c>
      <c r="V74" t="b">
        <v>0</v>
      </c>
      <c r="W74" t="b">
        <v>0</v>
      </c>
      <c r="X74" t="b">
        <v>0</v>
      </c>
      <c r="Y74" t="e" cm="1">
        <f t="array" aca="1" ref="Y74" ca="1">IF((COUNTIF(CSV假資料__3[[#This Row],[HasAC]:[HasWaterHeater]],"FALSE")+COUTIF(CSV假資料__3[[#This Row],[HasInternet]],"FALSE"))=0,TRUE,FALSE)</f>
        <v>#NAME?</v>
      </c>
    </row>
    <row r="75" spans="1:25" x14ac:dyDescent="0.25">
      <c r="A75" s="1" t="s">
        <v>24</v>
      </c>
      <c r="B75" s="1" t="s">
        <v>28</v>
      </c>
      <c r="C75" s="1" t="s">
        <v>29</v>
      </c>
      <c r="D75">
        <v>62000</v>
      </c>
      <c r="E75">
        <v>5</v>
      </c>
      <c r="F75">
        <v>3</v>
      </c>
      <c r="G75" t="b">
        <v>1</v>
      </c>
      <c r="H75" t="b">
        <v>0</v>
      </c>
      <c r="I75" t="b">
        <v>1</v>
      </c>
      <c r="J75" t="b">
        <v>0</v>
      </c>
      <c r="K75" s="1" t="s">
        <v>27</v>
      </c>
      <c r="L75">
        <v>55</v>
      </c>
      <c r="M75">
        <v>22</v>
      </c>
      <c r="N75">
        <v>28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0</v>
      </c>
      <c r="V75" t="b">
        <v>1</v>
      </c>
      <c r="W75" t="b">
        <v>1</v>
      </c>
      <c r="X75" t="b">
        <v>1</v>
      </c>
      <c r="Y75" t="e" cm="1">
        <f t="array" aca="1" ref="Y75" ca="1">IF((COUNTIF(CSV假資料__3[[#This Row],[HasAC]:[HasWaterHeater]],"FALSE")+COUTIF(CSV假資料__3[[#This Row],[HasInternet]],"FALSE"))=0,TRUE,FALSE)</f>
        <v>#NAME?</v>
      </c>
    </row>
    <row r="76" spans="1:25" x14ac:dyDescent="0.25">
      <c r="A76" s="1" t="s">
        <v>24</v>
      </c>
      <c r="B76" s="1" t="s">
        <v>31</v>
      </c>
      <c r="C76" s="1" t="s">
        <v>26</v>
      </c>
      <c r="D76">
        <v>16500</v>
      </c>
      <c r="E76">
        <v>1</v>
      </c>
      <c r="F76">
        <v>1</v>
      </c>
      <c r="G76" t="b">
        <v>1</v>
      </c>
      <c r="H76" t="b">
        <v>1</v>
      </c>
      <c r="I76" t="b">
        <v>0</v>
      </c>
      <c r="J76" t="b">
        <v>0</v>
      </c>
      <c r="K76" s="1" t="s">
        <v>27</v>
      </c>
      <c r="L76">
        <v>12.5</v>
      </c>
      <c r="M76">
        <v>10</v>
      </c>
      <c r="N76">
        <v>15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0</v>
      </c>
      <c r="W76" t="b">
        <v>1</v>
      </c>
      <c r="X76" t="b">
        <v>1</v>
      </c>
      <c r="Y76" t="e" cm="1">
        <f t="array" aca="1" ref="Y76" ca="1">IF((COUNTIF(CSV假資料__3[[#This Row],[HasAC]:[HasWaterHeater]],"FALSE")+COUTIF(CSV假資料__3[[#This Row],[HasInternet]],"FALSE"))=0,TRUE,FALSE)</f>
        <v>#NAME?</v>
      </c>
    </row>
    <row r="77" spans="1:25" x14ac:dyDescent="0.25">
      <c r="A77" s="1" t="s">
        <v>24</v>
      </c>
      <c r="B77" s="1" t="s">
        <v>33</v>
      </c>
      <c r="C77" s="1" t="s">
        <v>32</v>
      </c>
      <c r="D77">
        <v>11200</v>
      </c>
      <c r="E77">
        <v>1</v>
      </c>
      <c r="F77">
        <v>1</v>
      </c>
      <c r="G77" t="b">
        <v>1</v>
      </c>
      <c r="H77" t="b">
        <v>0</v>
      </c>
      <c r="I77" t="b">
        <v>1</v>
      </c>
      <c r="J77" t="b">
        <v>1</v>
      </c>
      <c r="K77" s="1" t="s">
        <v>27</v>
      </c>
      <c r="L77">
        <v>9</v>
      </c>
      <c r="M77">
        <v>6</v>
      </c>
      <c r="N77">
        <v>9</v>
      </c>
      <c r="O77" t="b">
        <v>1</v>
      </c>
      <c r="P77" t="b">
        <v>0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0</v>
      </c>
      <c r="W77" t="b">
        <v>1</v>
      </c>
      <c r="X77" t="b">
        <v>0</v>
      </c>
      <c r="Y77" t="e" cm="1">
        <f t="array" aca="1" ref="Y77" ca="1">IF((COUNTIF(CSV假資料__3[[#This Row],[HasAC]:[HasWaterHeater]],"FALSE")+COUTIF(CSV假資料__3[[#This Row],[HasInternet]],"FALSE"))=0,TRUE,FALSE)</f>
        <v>#NAME?</v>
      </c>
    </row>
    <row r="78" spans="1:25" x14ac:dyDescent="0.25">
      <c r="A78" s="1" t="s">
        <v>24</v>
      </c>
      <c r="B78" s="1" t="s">
        <v>35</v>
      </c>
      <c r="C78" s="1" t="s">
        <v>34</v>
      </c>
      <c r="D78">
        <v>6100</v>
      </c>
      <c r="E78">
        <v>1</v>
      </c>
      <c r="F78">
        <v>0</v>
      </c>
      <c r="G78" t="b">
        <v>1</v>
      </c>
      <c r="H78" t="b">
        <v>1</v>
      </c>
      <c r="I78" t="b">
        <v>0</v>
      </c>
      <c r="J78" t="b">
        <v>0</v>
      </c>
      <c r="K78" s="1" t="s">
        <v>30</v>
      </c>
      <c r="L78">
        <v>5</v>
      </c>
      <c r="M78">
        <v>2</v>
      </c>
      <c r="N78">
        <v>4</v>
      </c>
      <c r="O78" t="b">
        <v>1</v>
      </c>
      <c r="P78" t="b">
        <v>0</v>
      </c>
      <c r="Q78" t="b">
        <v>0</v>
      </c>
      <c r="R78" t="b">
        <v>1</v>
      </c>
      <c r="S78" t="b">
        <v>1</v>
      </c>
      <c r="T78" t="b">
        <v>1</v>
      </c>
      <c r="U78" t="b">
        <v>1</v>
      </c>
      <c r="V78" t="b">
        <v>0</v>
      </c>
      <c r="W78" t="b">
        <v>0</v>
      </c>
      <c r="X78" t="b">
        <v>0</v>
      </c>
      <c r="Y78" t="e" cm="1">
        <f t="array" aca="1" ref="Y78" ca="1">IF((COUNTIF(CSV假資料__3[[#This Row],[HasAC]:[HasWaterHeater]],"FALSE")+COUTIF(CSV假資料__3[[#This Row],[HasInternet]],"FALSE"))=0,TRUE,FALSE)</f>
        <v>#NAME?</v>
      </c>
    </row>
    <row r="79" spans="1:25" x14ac:dyDescent="0.25">
      <c r="A79" s="1" t="s">
        <v>24</v>
      </c>
      <c r="B79" s="1" t="s">
        <v>36</v>
      </c>
      <c r="C79" s="1" t="s">
        <v>29</v>
      </c>
      <c r="D79">
        <v>44000</v>
      </c>
      <c r="E79">
        <v>4</v>
      </c>
      <c r="F79">
        <v>2</v>
      </c>
      <c r="G79" t="b">
        <v>0</v>
      </c>
      <c r="H79" t="b">
        <v>0</v>
      </c>
      <c r="I79" t="b">
        <v>1</v>
      </c>
      <c r="J79" t="b">
        <v>0</v>
      </c>
      <c r="K79" s="1" t="s">
        <v>27</v>
      </c>
      <c r="L79">
        <v>38</v>
      </c>
      <c r="M79">
        <v>8</v>
      </c>
      <c r="N79">
        <v>14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0</v>
      </c>
      <c r="V79" t="b">
        <v>1</v>
      </c>
      <c r="W79" t="b">
        <v>1</v>
      </c>
      <c r="X79" t="b">
        <v>1</v>
      </c>
      <c r="Y79" t="e" cm="1">
        <f t="array" aca="1" ref="Y79" ca="1">IF((COUNTIF(CSV假資料__3[[#This Row],[HasAC]:[HasWaterHeater]],"FALSE")+COUTIF(CSV假資料__3[[#This Row],[HasInternet]],"FALSE"))=0,TRUE,FALSE)</f>
        <v>#NAME?</v>
      </c>
    </row>
    <row r="80" spans="1:25" x14ac:dyDescent="0.25">
      <c r="A80" s="1" t="s">
        <v>24</v>
      </c>
      <c r="B80" s="1" t="s">
        <v>37</v>
      </c>
      <c r="C80" s="1" t="s">
        <v>26</v>
      </c>
      <c r="D80">
        <v>14800</v>
      </c>
      <c r="E80">
        <v>1</v>
      </c>
      <c r="F80">
        <v>1</v>
      </c>
      <c r="G80" t="b">
        <v>1</v>
      </c>
      <c r="H80" t="b">
        <v>1</v>
      </c>
      <c r="I80" t="b">
        <v>0</v>
      </c>
      <c r="J80" t="b">
        <v>0</v>
      </c>
      <c r="K80" s="1" t="s">
        <v>30</v>
      </c>
      <c r="L80">
        <v>11.2</v>
      </c>
      <c r="M80">
        <v>5</v>
      </c>
      <c r="N80">
        <v>5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  <c r="W80" t="b">
        <v>0</v>
      </c>
      <c r="X80" t="b">
        <v>1</v>
      </c>
      <c r="Y80" t="e" cm="1">
        <f t="array" aca="1" ref="Y80" ca="1">IF((COUNTIF(CSV假資料__3[[#This Row],[HasAC]:[HasWaterHeater]],"FALSE")+COUTIF(CSV假資料__3[[#This Row],[HasInternet]],"FALSE"))=0,TRUE,FALSE)</f>
        <v>#NAME?</v>
      </c>
    </row>
    <row r="81" spans="1:25" x14ac:dyDescent="0.25">
      <c r="A81" s="1" t="s">
        <v>24</v>
      </c>
      <c r="B81" s="1" t="s">
        <v>39</v>
      </c>
      <c r="C81" s="1" t="s">
        <v>32</v>
      </c>
      <c r="D81">
        <v>8200</v>
      </c>
      <c r="E81">
        <v>1</v>
      </c>
      <c r="F81">
        <v>1</v>
      </c>
      <c r="G81" t="b">
        <v>0</v>
      </c>
      <c r="H81" t="b">
        <v>0</v>
      </c>
      <c r="I81" t="b">
        <v>0</v>
      </c>
      <c r="J81" t="b">
        <v>0</v>
      </c>
      <c r="K81" s="1" t="s">
        <v>30</v>
      </c>
      <c r="L81">
        <v>6.2</v>
      </c>
      <c r="M81">
        <v>4</v>
      </c>
      <c r="N81">
        <v>5</v>
      </c>
      <c r="O81" t="b">
        <v>1</v>
      </c>
      <c r="P81" t="b">
        <v>0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0</v>
      </c>
      <c r="W81" t="b">
        <v>0</v>
      </c>
      <c r="X81" t="b">
        <v>0</v>
      </c>
      <c r="Y81" t="e" cm="1">
        <f t="array" aca="1" ref="Y81" ca="1">IF((COUNTIF(CSV假資料__3[[#This Row],[HasAC]:[HasWaterHeater]],"FALSE")+COUTIF(CSV假資料__3[[#This Row],[HasInternet]],"FALSE"))=0,TRUE,FALSE)</f>
        <v>#NAME?</v>
      </c>
    </row>
    <row r="82" spans="1:25" x14ac:dyDescent="0.25">
      <c r="A82" s="1" t="s">
        <v>24</v>
      </c>
      <c r="B82" s="1" t="s">
        <v>40</v>
      </c>
      <c r="C82" s="1" t="s">
        <v>34</v>
      </c>
      <c r="D82">
        <v>4500</v>
      </c>
      <c r="E82">
        <v>1</v>
      </c>
      <c r="F82">
        <v>0</v>
      </c>
      <c r="G82" t="b">
        <v>1</v>
      </c>
      <c r="H82" t="b">
        <v>1</v>
      </c>
      <c r="I82" t="b">
        <v>1</v>
      </c>
      <c r="J82" t="b">
        <v>1</v>
      </c>
      <c r="K82" s="1" t="s">
        <v>30</v>
      </c>
      <c r="L82">
        <v>3.3</v>
      </c>
      <c r="M82">
        <v>1</v>
      </c>
      <c r="N82">
        <v>4</v>
      </c>
      <c r="O82" t="b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e" cm="1">
        <f t="array" aca="1" ref="Y82" ca="1">IF((COUNTIF(CSV假資料__3[[#This Row],[HasAC]:[HasWaterHeater]],"FALSE")+COUTIF(CSV假資料__3[[#This Row],[HasInternet]],"FALSE"))=0,TRUE,FALSE)</f>
        <v>#NAME?</v>
      </c>
    </row>
    <row r="83" spans="1:25" x14ac:dyDescent="0.25">
      <c r="A83" s="1" t="s">
        <v>24</v>
      </c>
      <c r="B83" s="1" t="s">
        <v>41</v>
      </c>
      <c r="C83" s="1" t="s">
        <v>29</v>
      </c>
      <c r="D83">
        <v>24000</v>
      </c>
      <c r="E83">
        <v>2</v>
      </c>
      <c r="F83">
        <v>1</v>
      </c>
      <c r="G83" t="b">
        <v>1</v>
      </c>
      <c r="H83" t="b">
        <v>0</v>
      </c>
      <c r="I83" t="b">
        <v>0</v>
      </c>
      <c r="J83" t="b">
        <v>0</v>
      </c>
      <c r="K83" s="1" t="s">
        <v>30</v>
      </c>
      <c r="L83">
        <v>19</v>
      </c>
      <c r="M83">
        <v>3</v>
      </c>
      <c r="N83">
        <v>5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0</v>
      </c>
      <c r="V83" t="b">
        <v>0</v>
      </c>
      <c r="W83" t="b">
        <v>0</v>
      </c>
      <c r="X83" t="b">
        <v>1</v>
      </c>
      <c r="Y83" t="e" cm="1">
        <f t="array" aca="1" ref="Y83" ca="1">IF((COUNTIF(CSV假資料__3[[#This Row],[HasAC]:[HasWaterHeater]],"FALSE")+COUTIF(CSV假資料__3[[#This Row],[HasInternet]],"FALSE"))=0,TRUE,FALSE)</f>
        <v>#NAME?</v>
      </c>
    </row>
    <row r="84" spans="1:25" x14ac:dyDescent="0.25">
      <c r="A84" s="1" t="s">
        <v>24</v>
      </c>
      <c r="B84" s="1" t="s">
        <v>42</v>
      </c>
      <c r="C84" s="1" t="s">
        <v>26</v>
      </c>
      <c r="D84">
        <v>13800</v>
      </c>
      <c r="E84">
        <v>1</v>
      </c>
      <c r="F84">
        <v>1</v>
      </c>
      <c r="G84" t="b">
        <v>1</v>
      </c>
      <c r="H84" t="b">
        <v>1</v>
      </c>
      <c r="I84" t="b">
        <v>0</v>
      </c>
      <c r="J84" t="b">
        <v>0</v>
      </c>
      <c r="K84" s="1" t="s">
        <v>27</v>
      </c>
      <c r="L84">
        <v>10</v>
      </c>
      <c r="M84">
        <v>7</v>
      </c>
      <c r="N84">
        <v>12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0</v>
      </c>
      <c r="W84" t="b">
        <v>1</v>
      </c>
      <c r="X84" t="b">
        <v>1</v>
      </c>
      <c r="Y84" t="e" cm="1">
        <f t="array" aca="1" ref="Y84" ca="1">IF((COUNTIF(CSV假資料__3[[#This Row],[HasAC]:[HasWaterHeater]],"FALSE")+COUTIF(CSV假資料__3[[#This Row],[HasInternet]],"FALSE"))=0,TRUE,FALSE)</f>
        <v>#NAME?</v>
      </c>
    </row>
    <row r="85" spans="1:25" x14ac:dyDescent="0.25">
      <c r="A85" s="1" t="s">
        <v>24</v>
      </c>
      <c r="B85" s="1" t="s">
        <v>43</v>
      </c>
      <c r="C85" s="1" t="s">
        <v>32</v>
      </c>
      <c r="D85">
        <v>9000</v>
      </c>
      <c r="E85">
        <v>1</v>
      </c>
      <c r="F85">
        <v>1</v>
      </c>
      <c r="G85" t="b">
        <v>1</v>
      </c>
      <c r="H85" t="b">
        <v>0</v>
      </c>
      <c r="I85" t="b">
        <v>0</v>
      </c>
      <c r="J85" t="b">
        <v>1</v>
      </c>
      <c r="K85" s="1" t="s">
        <v>30</v>
      </c>
      <c r="L85">
        <v>7.3</v>
      </c>
      <c r="M85">
        <v>3</v>
      </c>
      <c r="N85">
        <v>5</v>
      </c>
      <c r="O85" t="b">
        <v>1</v>
      </c>
      <c r="P85" t="b">
        <v>0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0</v>
      </c>
      <c r="W85" t="b">
        <v>0</v>
      </c>
      <c r="X85" t="b">
        <v>0</v>
      </c>
      <c r="Y85" t="e" cm="1">
        <f t="array" aca="1" ref="Y85" ca="1">IF((COUNTIF(CSV假資料__3[[#This Row],[HasAC]:[HasWaterHeater]],"FALSE")+COUTIF(CSV假資料__3[[#This Row],[HasInternet]],"FALSE"))=0,TRUE,FALSE)</f>
        <v>#NAME?</v>
      </c>
    </row>
    <row r="86" spans="1:25" x14ac:dyDescent="0.25">
      <c r="A86" s="1" t="s">
        <v>24</v>
      </c>
      <c r="B86" s="1" t="s">
        <v>25</v>
      </c>
      <c r="C86" s="1" t="s">
        <v>34</v>
      </c>
      <c r="D86">
        <v>6900</v>
      </c>
      <c r="E86">
        <v>1</v>
      </c>
      <c r="F86">
        <v>0</v>
      </c>
      <c r="G86" t="b">
        <v>1</v>
      </c>
      <c r="H86" t="b">
        <v>1</v>
      </c>
      <c r="I86" t="b">
        <v>0</v>
      </c>
      <c r="J86" t="b">
        <v>0</v>
      </c>
      <c r="K86" s="1" t="s">
        <v>30</v>
      </c>
      <c r="L86">
        <v>5.6</v>
      </c>
      <c r="M86">
        <v>4</v>
      </c>
      <c r="N86">
        <v>5</v>
      </c>
      <c r="O86" t="b">
        <v>1</v>
      </c>
      <c r="P86" t="b">
        <v>0</v>
      </c>
      <c r="Q86" t="b">
        <v>0</v>
      </c>
      <c r="R86" t="b">
        <v>1</v>
      </c>
      <c r="S86" t="b">
        <v>1</v>
      </c>
      <c r="T86" t="b">
        <v>1</v>
      </c>
      <c r="U86" t="b">
        <v>1</v>
      </c>
      <c r="V86" t="b">
        <v>0</v>
      </c>
      <c r="W86" t="b">
        <v>0</v>
      </c>
      <c r="X86" t="b">
        <v>0</v>
      </c>
      <c r="Y86" t="e" cm="1">
        <f t="array" aca="1" ref="Y86" ca="1">IF((COUNTIF(CSV假資料__3[[#This Row],[HasAC]:[HasWaterHeater]],"FALSE")+COUTIF(CSV假資料__3[[#This Row],[HasInternet]],"FALSE"))=0,TRUE,FALSE)</f>
        <v>#NAME?</v>
      </c>
    </row>
    <row r="87" spans="1:25" x14ac:dyDescent="0.25">
      <c r="A87" s="1" t="s">
        <v>24</v>
      </c>
      <c r="B87" s="1" t="s">
        <v>28</v>
      </c>
      <c r="C87" s="1" t="s">
        <v>29</v>
      </c>
      <c r="D87">
        <v>68000</v>
      </c>
      <c r="E87">
        <v>5</v>
      </c>
      <c r="F87">
        <v>3</v>
      </c>
      <c r="G87" t="b">
        <v>1</v>
      </c>
      <c r="H87" t="b">
        <v>0</v>
      </c>
      <c r="I87" t="b">
        <v>1</v>
      </c>
      <c r="J87" t="b">
        <v>0</v>
      </c>
      <c r="K87" s="1" t="s">
        <v>27</v>
      </c>
      <c r="L87">
        <v>60</v>
      </c>
      <c r="M87">
        <v>25</v>
      </c>
      <c r="N87">
        <v>30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0</v>
      </c>
      <c r="V87" t="b">
        <v>1</v>
      </c>
      <c r="W87" t="b">
        <v>1</v>
      </c>
      <c r="X87" t="b">
        <v>1</v>
      </c>
      <c r="Y87" t="e" cm="1">
        <f t="array" aca="1" ref="Y87" ca="1">IF((COUNTIF(CSV假資料__3[[#This Row],[HasAC]:[HasWaterHeater]],"FALSE")+COUTIF(CSV假資料__3[[#This Row],[HasInternet]],"FALSE"))=0,TRUE,FALSE)</f>
        <v>#NAME?</v>
      </c>
    </row>
    <row r="88" spans="1:25" x14ac:dyDescent="0.25">
      <c r="A88" s="1" t="s">
        <v>24</v>
      </c>
      <c r="B88" s="1" t="s">
        <v>31</v>
      </c>
      <c r="C88" s="1" t="s">
        <v>26</v>
      </c>
      <c r="D88">
        <v>17200</v>
      </c>
      <c r="E88">
        <v>1</v>
      </c>
      <c r="F88">
        <v>1</v>
      </c>
      <c r="G88" t="b">
        <v>1</v>
      </c>
      <c r="H88" t="b">
        <v>1</v>
      </c>
      <c r="I88" t="b">
        <v>1</v>
      </c>
      <c r="J88" t="b">
        <v>0</v>
      </c>
      <c r="K88" s="1" t="s">
        <v>27</v>
      </c>
      <c r="L88">
        <v>13</v>
      </c>
      <c r="M88">
        <v>11</v>
      </c>
      <c r="N88">
        <v>16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0</v>
      </c>
      <c r="W88" t="b">
        <v>1</v>
      </c>
      <c r="X88" t="b">
        <v>1</v>
      </c>
      <c r="Y88" t="e" cm="1">
        <f t="array" aca="1" ref="Y88" ca="1">IF((COUNTIF(CSV假資料__3[[#This Row],[HasAC]:[HasWaterHeater]],"FALSE")+COUTIF(CSV假資料__3[[#This Row],[HasInternet]],"FALSE"))=0,TRUE,FALSE)</f>
        <v>#NAME?</v>
      </c>
    </row>
    <row r="89" spans="1:25" x14ac:dyDescent="0.25">
      <c r="A89" s="1" t="s">
        <v>24</v>
      </c>
      <c r="B89" s="1" t="s">
        <v>33</v>
      </c>
      <c r="C89" s="1" t="s">
        <v>32</v>
      </c>
      <c r="D89">
        <v>11800</v>
      </c>
      <c r="E89">
        <v>1</v>
      </c>
      <c r="F89">
        <v>1</v>
      </c>
      <c r="G89" t="b">
        <v>1</v>
      </c>
      <c r="H89" t="b">
        <v>0</v>
      </c>
      <c r="I89" t="b">
        <v>0</v>
      </c>
      <c r="J89" t="b">
        <v>1</v>
      </c>
      <c r="K89" s="1" t="s">
        <v>27</v>
      </c>
      <c r="L89">
        <v>9.5</v>
      </c>
      <c r="M89">
        <v>7</v>
      </c>
      <c r="N89">
        <v>10</v>
      </c>
      <c r="O89" t="b">
        <v>1</v>
      </c>
      <c r="P89" t="b">
        <v>0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0</v>
      </c>
      <c r="W89" t="b">
        <v>1</v>
      </c>
      <c r="X89" t="b">
        <v>0</v>
      </c>
      <c r="Y89" t="e" cm="1">
        <f t="array" aca="1" ref="Y89" ca="1">IF((COUNTIF(CSV假資料__3[[#This Row],[HasAC]:[HasWaterHeater]],"FALSE")+COUTIF(CSV假資料__3[[#This Row],[HasInternet]],"FALSE"))=0,TRUE,FALSE)</f>
        <v>#NAME?</v>
      </c>
    </row>
    <row r="90" spans="1:25" x14ac:dyDescent="0.25">
      <c r="A90" s="1" t="s">
        <v>24</v>
      </c>
      <c r="B90" s="1" t="s">
        <v>35</v>
      </c>
      <c r="C90" s="1" t="s">
        <v>34</v>
      </c>
      <c r="D90">
        <v>6300</v>
      </c>
      <c r="E90">
        <v>1</v>
      </c>
      <c r="F90">
        <v>0</v>
      </c>
      <c r="G90" t="b">
        <v>1</v>
      </c>
      <c r="H90" t="b">
        <v>1</v>
      </c>
      <c r="I90" t="b">
        <v>0</v>
      </c>
      <c r="J90" t="b">
        <v>0</v>
      </c>
      <c r="K90" s="1" t="s">
        <v>30</v>
      </c>
      <c r="L90">
        <v>5.0999999999999996</v>
      </c>
      <c r="M90">
        <v>2</v>
      </c>
      <c r="N90">
        <v>4</v>
      </c>
      <c r="O90" t="b">
        <v>1</v>
      </c>
      <c r="P90" t="b">
        <v>0</v>
      </c>
      <c r="Q90" t="b">
        <v>0</v>
      </c>
      <c r="R90" t="b">
        <v>1</v>
      </c>
      <c r="S90" t="b">
        <v>1</v>
      </c>
      <c r="T90" t="b">
        <v>1</v>
      </c>
      <c r="U90" t="b">
        <v>1</v>
      </c>
      <c r="V90" t="b">
        <v>0</v>
      </c>
      <c r="W90" t="b">
        <v>0</v>
      </c>
      <c r="X90" t="b">
        <v>0</v>
      </c>
      <c r="Y90" t="e" cm="1">
        <f t="array" aca="1" ref="Y90" ca="1">IF((COUNTIF(CSV假資料__3[[#This Row],[HasAC]:[HasWaterHeater]],"FALSE")+COUTIF(CSV假資料__3[[#This Row],[HasInternet]],"FALSE"))=0,TRUE,FALSE)</f>
        <v>#NAME?</v>
      </c>
    </row>
    <row r="91" spans="1:25" x14ac:dyDescent="0.25">
      <c r="A91" s="1" t="s">
        <v>24</v>
      </c>
      <c r="B91" s="1" t="s">
        <v>36</v>
      </c>
      <c r="C91" s="1" t="s">
        <v>29</v>
      </c>
      <c r="D91">
        <v>48000</v>
      </c>
      <c r="E91">
        <v>4</v>
      </c>
      <c r="F91">
        <v>2</v>
      </c>
      <c r="G91" t="b">
        <v>0</v>
      </c>
      <c r="H91" t="b">
        <v>0</v>
      </c>
      <c r="I91" t="b">
        <v>1</v>
      </c>
      <c r="J91" t="b">
        <v>0</v>
      </c>
      <c r="K91" s="1" t="s">
        <v>27</v>
      </c>
      <c r="L91">
        <v>42</v>
      </c>
      <c r="M91">
        <v>9</v>
      </c>
      <c r="N91">
        <v>15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0</v>
      </c>
      <c r="V91" t="b">
        <v>1</v>
      </c>
      <c r="W91" t="b">
        <v>1</v>
      </c>
      <c r="X91" t="b">
        <v>1</v>
      </c>
      <c r="Y91" t="e" cm="1">
        <f t="array" aca="1" ref="Y91" ca="1">IF((COUNTIF(CSV假資料__3[[#This Row],[HasAC]:[HasWaterHeater]],"FALSE")+COUTIF(CSV假資料__3[[#This Row],[HasInternet]],"FALSE"))=0,TRUE,FALSE)</f>
        <v>#NAME?</v>
      </c>
    </row>
    <row r="92" spans="1:25" x14ac:dyDescent="0.25">
      <c r="A92" s="1" t="s">
        <v>24</v>
      </c>
      <c r="B92" s="1" t="s">
        <v>37</v>
      </c>
      <c r="C92" s="1" t="s">
        <v>26</v>
      </c>
      <c r="D92">
        <v>15800</v>
      </c>
      <c r="E92">
        <v>1</v>
      </c>
      <c r="F92">
        <v>1</v>
      </c>
      <c r="G92" t="b">
        <v>1</v>
      </c>
      <c r="H92" t="b">
        <v>1</v>
      </c>
      <c r="I92" t="b">
        <v>0</v>
      </c>
      <c r="J92" t="b">
        <v>0</v>
      </c>
      <c r="K92" s="1" t="s">
        <v>30</v>
      </c>
      <c r="L92">
        <v>12</v>
      </c>
      <c r="M92">
        <v>4</v>
      </c>
      <c r="N92">
        <v>5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0</v>
      </c>
      <c r="W92" t="b">
        <v>0</v>
      </c>
      <c r="X92" t="b">
        <v>1</v>
      </c>
      <c r="Y92" t="e" cm="1">
        <f t="array" aca="1" ref="Y92" ca="1">IF((COUNTIF(CSV假資料__3[[#This Row],[HasAC]:[HasWaterHeater]],"FALSE")+COUTIF(CSV假資料__3[[#This Row],[HasInternet]],"FALSE"))=0,TRUE,FALSE)</f>
        <v>#NAME?</v>
      </c>
    </row>
    <row r="93" spans="1:25" x14ac:dyDescent="0.25">
      <c r="A93" s="1" t="s">
        <v>24</v>
      </c>
      <c r="B93" s="1" t="s">
        <v>39</v>
      </c>
      <c r="C93" s="1" t="s">
        <v>32</v>
      </c>
      <c r="D93">
        <v>8400</v>
      </c>
      <c r="E93">
        <v>1</v>
      </c>
      <c r="F93">
        <v>1</v>
      </c>
      <c r="G93" t="b">
        <v>0</v>
      </c>
      <c r="H93" t="b">
        <v>0</v>
      </c>
      <c r="I93" t="b">
        <v>1</v>
      </c>
      <c r="J93" t="b">
        <v>0</v>
      </c>
      <c r="K93" s="1" t="s">
        <v>30</v>
      </c>
      <c r="L93">
        <v>6.4</v>
      </c>
      <c r="M93">
        <v>3</v>
      </c>
      <c r="N93">
        <v>5</v>
      </c>
      <c r="O93" t="b">
        <v>1</v>
      </c>
      <c r="P93" t="b">
        <v>0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0</v>
      </c>
      <c r="W93" t="b">
        <v>0</v>
      </c>
      <c r="X93" t="b">
        <v>0</v>
      </c>
      <c r="Y93" t="e" cm="1">
        <f t="array" aca="1" ref="Y93" ca="1">IF((COUNTIF(CSV假資料__3[[#This Row],[HasAC]:[HasWaterHeater]],"FALSE")+COUTIF(CSV假資料__3[[#This Row],[HasInternet]],"FALSE"))=0,TRUE,FALSE)</f>
        <v>#NAME?</v>
      </c>
    </row>
    <row r="94" spans="1:25" x14ac:dyDescent="0.25">
      <c r="A94" s="1" t="s">
        <v>24</v>
      </c>
      <c r="B94" s="1" t="s">
        <v>40</v>
      </c>
      <c r="C94" s="1" t="s">
        <v>34</v>
      </c>
      <c r="D94">
        <v>4400</v>
      </c>
      <c r="E94">
        <v>1</v>
      </c>
      <c r="F94">
        <v>0</v>
      </c>
      <c r="G94" t="b">
        <v>1</v>
      </c>
      <c r="H94" t="b">
        <v>1</v>
      </c>
      <c r="I94" t="b">
        <v>0</v>
      </c>
      <c r="J94" t="b">
        <v>1</v>
      </c>
      <c r="K94" s="1" t="s">
        <v>30</v>
      </c>
      <c r="L94">
        <v>3.2</v>
      </c>
      <c r="M94">
        <v>1</v>
      </c>
      <c r="N94">
        <v>4</v>
      </c>
      <c r="O94" t="b">
        <v>0</v>
      </c>
      <c r="P94" t="b">
        <v>0</v>
      </c>
      <c r="Q94" t="b">
        <v>0</v>
      </c>
      <c r="R94" t="b">
        <v>1</v>
      </c>
      <c r="S94" t="b">
        <v>1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e" cm="1">
        <f t="array" aca="1" ref="Y94" ca="1">IF((COUNTIF(CSV假資料__3[[#This Row],[HasAC]:[HasWaterHeater]],"FALSE")+COUTIF(CSV假資料__3[[#This Row],[HasInternet]],"FALSE"))=0,TRUE,FALSE)</f>
        <v>#NAME?</v>
      </c>
    </row>
    <row r="95" spans="1:25" x14ac:dyDescent="0.25">
      <c r="A95" s="1" t="s">
        <v>24</v>
      </c>
      <c r="B95" s="1" t="s">
        <v>41</v>
      </c>
      <c r="C95" s="1" t="s">
        <v>29</v>
      </c>
      <c r="D95">
        <v>27000</v>
      </c>
      <c r="E95">
        <v>3</v>
      </c>
      <c r="F95">
        <v>2</v>
      </c>
      <c r="G95" t="b">
        <v>1</v>
      </c>
      <c r="H95" t="b">
        <v>0</v>
      </c>
      <c r="I95" t="b">
        <v>0</v>
      </c>
      <c r="J95" t="b">
        <v>0</v>
      </c>
      <c r="K95" s="1" t="s">
        <v>30</v>
      </c>
      <c r="L95">
        <v>23</v>
      </c>
      <c r="M95">
        <v>2</v>
      </c>
      <c r="N95">
        <v>5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0</v>
      </c>
      <c r="V95" t="b">
        <v>0</v>
      </c>
      <c r="W95" t="b">
        <v>0</v>
      </c>
      <c r="X95" t="b">
        <v>1</v>
      </c>
      <c r="Y95" t="e" cm="1">
        <f t="array" aca="1" ref="Y95" ca="1">IF((COUNTIF(CSV假資料__3[[#This Row],[HasAC]:[HasWaterHeater]],"FALSE")+COUTIF(CSV假資料__3[[#This Row],[HasInternet]],"FALSE"))=0,TRUE,FALSE)</f>
        <v>#NAME?</v>
      </c>
    </row>
    <row r="96" spans="1:25" x14ac:dyDescent="0.25">
      <c r="A96" s="1" t="s">
        <v>24</v>
      </c>
      <c r="B96" s="1" t="s">
        <v>42</v>
      </c>
      <c r="C96" s="1" t="s">
        <v>26</v>
      </c>
      <c r="D96">
        <v>14800</v>
      </c>
      <c r="E96">
        <v>1</v>
      </c>
      <c r="F96">
        <v>1</v>
      </c>
      <c r="G96" t="b">
        <v>1</v>
      </c>
      <c r="H96" t="b">
        <v>1</v>
      </c>
      <c r="I96" t="b">
        <v>1</v>
      </c>
      <c r="J96" t="b">
        <v>0</v>
      </c>
      <c r="K96" s="1" t="s">
        <v>27</v>
      </c>
      <c r="L96">
        <v>11.8</v>
      </c>
      <c r="M96">
        <v>8</v>
      </c>
      <c r="N96">
        <v>12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0</v>
      </c>
      <c r="W96" t="b">
        <v>1</v>
      </c>
      <c r="X96" t="b">
        <v>1</v>
      </c>
      <c r="Y96" t="e" cm="1">
        <f t="array" aca="1" ref="Y96" ca="1">IF((COUNTIF(CSV假資料__3[[#This Row],[HasAC]:[HasWaterHeater]],"FALSE")+COUTIF(CSV假資料__3[[#This Row],[HasInternet]],"FALSE"))=0,TRUE,FALSE)</f>
        <v>#NAME?</v>
      </c>
    </row>
    <row r="97" spans="1:25" x14ac:dyDescent="0.25">
      <c r="A97" s="1" t="s">
        <v>24</v>
      </c>
      <c r="B97" s="1" t="s">
        <v>43</v>
      </c>
      <c r="C97" s="1" t="s">
        <v>32</v>
      </c>
      <c r="D97">
        <v>9300</v>
      </c>
      <c r="E97">
        <v>1</v>
      </c>
      <c r="F97">
        <v>1</v>
      </c>
      <c r="G97" t="b">
        <v>1</v>
      </c>
      <c r="H97" t="b">
        <v>0</v>
      </c>
      <c r="I97" t="b">
        <v>0</v>
      </c>
      <c r="J97" t="b">
        <v>1</v>
      </c>
      <c r="K97" s="1" t="s">
        <v>30</v>
      </c>
      <c r="L97">
        <v>7.1</v>
      </c>
      <c r="M97">
        <v>4</v>
      </c>
      <c r="N97">
        <v>5</v>
      </c>
      <c r="O97" t="b">
        <v>1</v>
      </c>
      <c r="P97" t="b">
        <v>0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0</v>
      </c>
      <c r="W97" t="b">
        <v>0</v>
      </c>
      <c r="X97" t="b">
        <v>0</v>
      </c>
      <c r="Y97" t="e" cm="1">
        <f t="array" aca="1" ref="Y97" ca="1">IF((COUNTIF(CSV假資料__3[[#This Row],[HasAC]:[HasWaterHeater]],"FALSE")+COUTIF(CSV假資料__3[[#This Row],[HasInternet]],"FALSE"))=0,TRUE,FALSE)</f>
        <v>#NAME?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BC5B-7D30-4016-A6A2-6E76DD7CE5A0}">
  <dimension ref="A3:D17"/>
  <sheetViews>
    <sheetView workbookViewId="0">
      <selection activeCell="H8" sqref="H8"/>
    </sheetView>
  </sheetViews>
  <sheetFormatPr defaultRowHeight="16.5" x14ac:dyDescent="0.25"/>
  <cols>
    <col min="1" max="1" width="14.75" bestFit="1" customWidth="1"/>
    <col min="2" max="4" width="13.5" bestFit="1" customWidth="1"/>
  </cols>
  <sheetData>
    <row r="3" spans="1:4" x14ac:dyDescent="0.25">
      <c r="A3" s="2" t="s">
        <v>51</v>
      </c>
      <c r="B3" s="2" t="s">
        <v>48</v>
      </c>
    </row>
    <row r="4" spans="1:4" x14ac:dyDescent="0.25">
      <c r="A4" s="2" t="s">
        <v>45</v>
      </c>
      <c r="B4" t="s">
        <v>46</v>
      </c>
      <c r="C4" t="s">
        <v>47</v>
      </c>
      <c r="D4" t="s">
        <v>44</v>
      </c>
    </row>
    <row r="5" spans="1:4" x14ac:dyDescent="0.25">
      <c r="A5" s="3" t="s">
        <v>37</v>
      </c>
      <c r="B5" s="1">
        <v>6500</v>
      </c>
      <c r="C5" s="1">
        <v>19266.666666666668</v>
      </c>
      <c r="D5" s="1">
        <v>16075</v>
      </c>
    </row>
    <row r="6" spans="1:4" x14ac:dyDescent="0.25">
      <c r="A6" s="3" t="s">
        <v>42</v>
      </c>
      <c r="B6" s="1">
        <v>6000</v>
      </c>
      <c r="C6" s="1">
        <v>17266.666666666668</v>
      </c>
      <c r="D6" s="1">
        <v>14450</v>
      </c>
    </row>
    <row r="7" spans="1:4" x14ac:dyDescent="0.25">
      <c r="A7" s="3" t="s">
        <v>25</v>
      </c>
      <c r="B7" s="1">
        <v>6875</v>
      </c>
      <c r="C7" s="1">
        <v>29500</v>
      </c>
      <c r="D7" s="1">
        <v>18187.5</v>
      </c>
    </row>
    <row r="8" spans="1:4" x14ac:dyDescent="0.25">
      <c r="A8" s="3" t="s">
        <v>31</v>
      </c>
      <c r="B8" s="1">
        <v>8300</v>
      </c>
      <c r="C8" s="1">
        <v>15925</v>
      </c>
      <c r="D8" s="1">
        <v>12112.5</v>
      </c>
    </row>
    <row r="9" spans="1:4" x14ac:dyDescent="0.25">
      <c r="A9" s="3" t="s">
        <v>35</v>
      </c>
      <c r="B9" s="1">
        <v>5925</v>
      </c>
      <c r="C9" s="1">
        <v>27875</v>
      </c>
      <c r="D9" s="1">
        <v>16900</v>
      </c>
    </row>
    <row r="10" spans="1:4" x14ac:dyDescent="0.25">
      <c r="A10" s="3" t="s">
        <v>36</v>
      </c>
      <c r="B10" s="1">
        <v>8500</v>
      </c>
      <c r="C10" s="1">
        <v>32642.857142857141</v>
      </c>
      <c r="D10" s="1">
        <v>29625</v>
      </c>
    </row>
    <row r="11" spans="1:4" x14ac:dyDescent="0.25">
      <c r="A11" s="3" t="s">
        <v>39</v>
      </c>
      <c r="B11" s="1">
        <v>7571.4285714285716</v>
      </c>
      <c r="C11" s="1">
        <v>9500</v>
      </c>
      <c r="D11" s="1">
        <v>7812.5</v>
      </c>
    </row>
    <row r="12" spans="1:4" x14ac:dyDescent="0.25">
      <c r="A12" s="3" t="s">
        <v>40</v>
      </c>
      <c r="B12" s="1">
        <v>4683.333333333333</v>
      </c>
      <c r="C12" s="1">
        <v>16500</v>
      </c>
      <c r="D12" s="1">
        <v>7637.5</v>
      </c>
    </row>
    <row r="13" spans="1:4" x14ac:dyDescent="0.25">
      <c r="A13" s="3" t="s">
        <v>33</v>
      </c>
      <c r="B13" s="1">
        <v>8685.7142857142862</v>
      </c>
      <c r="C13" s="1">
        <v>14000</v>
      </c>
      <c r="D13" s="1">
        <v>9350</v>
      </c>
    </row>
    <row r="14" spans="1:4" x14ac:dyDescent="0.25">
      <c r="A14" s="3" t="s">
        <v>28</v>
      </c>
      <c r="B14" s="1">
        <v>11000</v>
      </c>
      <c r="C14" s="1">
        <v>48142.857142857145</v>
      </c>
      <c r="D14" s="1">
        <v>43500</v>
      </c>
    </row>
    <row r="15" spans="1:4" x14ac:dyDescent="0.25">
      <c r="A15" s="3" t="s">
        <v>43</v>
      </c>
      <c r="B15" s="1">
        <v>8200</v>
      </c>
      <c r="C15" s="1">
        <v>21500</v>
      </c>
      <c r="D15" s="1">
        <v>11525</v>
      </c>
    </row>
    <row r="16" spans="1:4" x14ac:dyDescent="0.25">
      <c r="A16" s="3" t="s">
        <v>41</v>
      </c>
      <c r="B16" s="1">
        <v>7000</v>
      </c>
      <c r="C16" s="1">
        <v>18428.571428571428</v>
      </c>
      <c r="D16" s="1">
        <v>17000</v>
      </c>
    </row>
    <row r="17" spans="1:4" x14ac:dyDescent="0.25">
      <c r="A17" s="3" t="s">
        <v>44</v>
      </c>
      <c r="B17" s="1">
        <v>7266.666666666667</v>
      </c>
      <c r="C17" s="1">
        <v>25615.686274509804</v>
      </c>
      <c r="D17" s="1">
        <v>17014.583333333332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1754-A81B-4BA8-B33A-EE532382981C}">
  <dimension ref="A3:H34"/>
  <sheetViews>
    <sheetView workbookViewId="0">
      <selection activeCell="K14" sqref="K14"/>
    </sheetView>
  </sheetViews>
  <sheetFormatPr defaultRowHeight="16.5" x14ac:dyDescent="0.25"/>
  <cols>
    <col min="1" max="1" width="13.25" bestFit="1" customWidth="1"/>
    <col min="2" max="2" width="12.625" bestFit="1" customWidth="1"/>
    <col min="3" max="3" width="5.875" bestFit="1" customWidth="1"/>
    <col min="4" max="4" width="22.5" bestFit="1" customWidth="1"/>
    <col min="5" max="5" width="23.625" bestFit="1" customWidth="1"/>
    <col min="7" max="7" width="10.375" bestFit="1" customWidth="1"/>
    <col min="8" max="8" width="22.5" bestFit="1" customWidth="1"/>
  </cols>
  <sheetData>
    <row r="3" spans="1:8" x14ac:dyDescent="0.25">
      <c r="A3" s="2" t="s">
        <v>58</v>
      </c>
    </row>
    <row r="4" spans="1:8" x14ac:dyDescent="0.25">
      <c r="A4" s="2" t="s">
        <v>1</v>
      </c>
      <c r="B4" s="2" t="s">
        <v>52</v>
      </c>
      <c r="C4" t="s">
        <v>57</v>
      </c>
      <c r="G4" s="2" t="s">
        <v>45</v>
      </c>
      <c r="H4" t="s">
        <v>58</v>
      </c>
    </row>
    <row r="5" spans="1:8" x14ac:dyDescent="0.25">
      <c r="A5" t="s">
        <v>37</v>
      </c>
      <c r="B5" t="s">
        <v>54</v>
      </c>
      <c r="C5" s="1">
        <v>5</v>
      </c>
      <c r="D5">
        <f>C5/VLOOKUP(A5,$G:$H,2,0)</f>
        <v>0.625</v>
      </c>
      <c r="G5" s="3" t="s">
        <v>37</v>
      </c>
      <c r="H5" s="1">
        <v>8</v>
      </c>
    </row>
    <row r="6" spans="1:8" x14ac:dyDescent="0.25">
      <c r="A6" t="s">
        <v>37</v>
      </c>
      <c r="B6" t="s">
        <v>55</v>
      </c>
      <c r="C6" s="1">
        <v>3</v>
      </c>
      <c r="D6">
        <f t="shared" ref="D6:D33" si="0">C6/VLOOKUP(A6,$G:$H,2,0)</f>
        <v>0.375</v>
      </c>
      <c r="G6" s="3" t="s">
        <v>42</v>
      </c>
      <c r="H6" s="1">
        <v>8</v>
      </c>
    </row>
    <row r="7" spans="1:8" x14ac:dyDescent="0.25">
      <c r="A7" t="s">
        <v>42</v>
      </c>
      <c r="B7" t="s">
        <v>54</v>
      </c>
      <c r="C7" s="1">
        <v>2</v>
      </c>
      <c r="D7">
        <f t="shared" si="0"/>
        <v>0.25</v>
      </c>
      <c r="G7" s="3" t="s">
        <v>25</v>
      </c>
      <c r="H7" s="1">
        <v>8</v>
      </c>
    </row>
    <row r="8" spans="1:8" x14ac:dyDescent="0.25">
      <c r="A8" t="s">
        <v>42</v>
      </c>
      <c r="B8" t="s">
        <v>55</v>
      </c>
      <c r="C8" s="1">
        <v>6</v>
      </c>
      <c r="D8">
        <f t="shared" si="0"/>
        <v>0.75</v>
      </c>
      <c r="G8" s="3" t="s">
        <v>31</v>
      </c>
      <c r="H8" s="1">
        <v>8</v>
      </c>
    </row>
    <row r="9" spans="1:8" x14ac:dyDescent="0.25">
      <c r="A9" t="s">
        <v>25</v>
      </c>
      <c r="B9" t="s">
        <v>54</v>
      </c>
      <c r="C9" s="1">
        <v>2</v>
      </c>
      <c r="D9">
        <f t="shared" si="0"/>
        <v>0.25</v>
      </c>
      <c r="G9" s="3" t="s">
        <v>35</v>
      </c>
      <c r="H9" s="1">
        <v>8</v>
      </c>
    </row>
    <row r="10" spans="1:8" x14ac:dyDescent="0.25">
      <c r="A10" t="s">
        <v>25</v>
      </c>
      <c r="B10" t="s">
        <v>55</v>
      </c>
      <c r="C10" s="1">
        <v>5</v>
      </c>
      <c r="D10">
        <f t="shared" si="0"/>
        <v>0.625</v>
      </c>
      <c r="G10" s="3" t="s">
        <v>36</v>
      </c>
      <c r="H10" s="1">
        <v>8</v>
      </c>
    </row>
    <row r="11" spans="1:8" x14ac:dyDescent="0.25">
      <c r="A11" t="s">
        <v>25</v>
      </c>
      <c r="B11" t="s">
        <v>56</v>
      </c>
      <c r="C11" s="1">
        <v>1</v>
      </c>
      <c r="D11">
        <f t="shared" si="0"/>
        <v>0.125</v>
      </c>
      <c r="G11" s="3" t="s">
        <v>39</v>
      </c>
      <c r="H11" s="1">
        <v>8</v>
      </c>
    </row>
    <row r="12" spans="1:8" x14ac:dyDescent="0.25">
      <c r="A12" t="s">
        <v>31</v>
      </c>
      <c r="B12" t="s">
        <v>54</v>
      </c>
      <c r="C12" s="1">
        <v>1</v>
      </c>
      <c r="D12">
        <f t="shared" si="0"/>
        <v>0.125</v>
      </c>
      <c r="G12" s="3" t="s">
        <v>40</v>
      </c>
      <c r="H12" s="1">
        <v>8</v>
      </c>
    </row>
    <row r="13" spans="1:8" x14ac:dyDescent="0.25">
      <c r="A13" t="s">
        <v>31</v>
      </c>
      <c r="B13" t="s">
        <v>55</v>
      </c>
      <c r="C13" s="1">
        <v>4</v>
      </c>
      <c r="D13">
        <f t="shared" si="0"/>
        <v>0.5</v>
      </c>
      <c r="G13" s="3" t="s">
        <v>33</v>
      </c>
      <c r="H13" s="1">
        <v>8</v>
      </c>
    </row>
    <row r="14" spans="1:8" x14ac:dyDescent="0.25">
      <c r="A14" t="s">
        <v>31</v>
      </c>
      <c r="B14" t="s">
        <v>56</v>
      </c>
      <c r="C14" s="1">
        <v>3</v>
      </c>
      <c r="D14">
        <f t="shared" si="0"/>
        <v>0.375</v>
      </c>
      <c r="G14" s="3" t="s">
        <v>28</v>
      </c>
      <c r="H14" s="1">
        <v>8</v>
      </c>
    </row>
    <row r="15" spans="1:8" x14ac:dyDescent="0.25">
      <c r="A15" t="s">
        <v>35</v>
      </c>
      <c r="B15" t="s">
        <v>54</v>
      </c>
      <c r="C15" s="1">
        <v>4</v>
      </c>
      <c r="D15">
        <f t="shared" si="0"/>
        <v>0.5</v>
      </c>
      <c r="G15" s="3" t="s">
        <v>43</v>
      </c>
      <c r="H15" s="1">
        <v>8</v>
      </c>
    </row>
    <row r="16" spans="1:8" x14ac:dyDescent="0.25">
      <c r="A16" t="s">
        <v>35</v>
      </c>
      <c r="B16" t="s">
        <v>55</v>
      </c>
      <c r="C16" s="1">
        <v>2</v>
      </c>
      <c r="D16">
        <f t="shared" si="0"/>
        <v>0.25</v>
      </c>
      <c r="G16" s="3" t="s">
        <v>41</v>
      </c>
      <c r="H16" s="1">
        <v>8</v>
      </c>
    </row>
    <row r="17" spans="1:8" x14ac:dyDescent="0.25">
      <c r="A17" t="s">
        <v>35</v>
      </c>
      <c r="B17" t="s">
        <v>56</v>
      </c>
      <c r="C17" s="1">
        <v>2</v>
      </c>
      <c r="D17">
        <f t="shared" si="0"/>
        <v>0.25</v>
      </c>
      <c r="G17" s="3" t="s">
        <v>44</v>
      </c>
      <c r="H17" s="1">
        <v>96</v>
      </c>
    </row>
    <row r="18" spans="1:8" x14ac:dyDescent="0.25">
      <c r="A18" t="s">
        <v>36</v>
      </c>
      <c r="B18" t="s">
        <v>54</v>
      </c>
      <c r="C18" s="1">
        <v>1</v>
      </c>
      <c r="D18">
        <f t="shared" si="0"/>
        <v>0.125</v>
      </c>
    </row>
    <row r="19" spans="1:8" x14ac:dyDescent="0.25">
      <c r="A19" t="s">
        <v>36</v>
      </c>
      <c r="B19" t="s">
        <v>55</v>
      </c>
      <c r="C19" s="1">
        <v>6</v>
      </c>
      <c r="D19">
        <f t="shared" si="0"/>
        <v>0.75</v>
      </c>
    </row>
    <row r="20" spans="1:8" x14ac:dyDescent="0.25">
      <c r="A20" t="s">
        <v>36</v>
      </c>
      <c r="B20" t="s">
        <v>56</v>
      </c>
      <c r="C20" s="1">
        <v>1</v>
      </c>
      <c r="D20">
        <f t="shared" si="0"/>
        <v>0.125</v>
      </c>
    </row>
    <row r="21" spans="1:8" x14ac:dyDescent="0.25">
      <c r="A21" t="s">
        <v>39</v>
      </c>
      <c r="B21" t="s">
        <v>54</v>
      </c>
      <c r="C21" s="1">
        <v>4</v>
      </c>
      <c r="D21">
        <f t="shared" si="0"/>
        <v>0.5</v>
      </c>
    </row>
    <row r="22" spans="1:8" x14ac:dyDescent="0.25">
      <c r="A22" t="s">
        <v>39</v>
      </c>
      <c r="B22" t="s">
        <v>55</v>
      </c>
      <c r="C22" s="1">
        <v>4</v>
      </c>
      <c r="D22">
        <f t="shared" si="0"/>
        <v>0.5</v>
      </c>
    </row>
    <row r="23" spans="1:8" x14ac:dyDescent="0.25">
      <c r="A23" t="s">
        <v>40</v>
      </c>
      <c r="B23" t="s">
        <v>54</v>
      </c>
      <c r="C23" s="1">
        <v>8</v>
      </c>
      <c r="D23">
        <f t="shared" si="0"/>
        <v>1</v>
      </c>
    </row>
    <row r="24" spans="1:8" x14ac:dyDescent="0.25">
      <c r="A24" t="s">
        <v>33</v>
      </c>
      <c r="B24" t="s">
        <v>54</v>
      </c>
      <c r="C24" s="1">
        <v>3</v>
      </c>
      <c r="D24">
        <f t="shared" si="0"/>
        <v>0.375</v>
      </c>
    </row>
    <row r="25" spans="1:8" x14ac:dyDescent="0.25">
      <c r="A25" t="s">
        <v>33</v>
      </c>
      <c r="B25" t="s">
        <v>55</v>
      </c>
      <c r="C25" s="1">
        <v>4</v>
      </c>
      <c r="D25">
        <f t="shared" si="0"/>
        <v>0.5</v>
      </c>
    </row>
    <row r="26" spans="1:8" x14ac:dyDescent="0.25">
      <c r="A26" t="s">
        <v>33</v>
      </c>
      <c r="B26" t="s">
        <v>56</v>
      </c>
      <c r="C26" s="1">
        <v>1</v>
      </c>
      <c r="D26">
        <f t="shared" si="0"/>
        <v>0.125</v>
      </c>
    </row>
    <row r="27" spans="1:8" x14ac:dyDescent="0.25">
      <c r="A27" t="s">
        <v>28</v>
      </c>
      <c r="B27" t="s">
        <v>54</v>
      </c>
      <c r="C27" s="1">
        <v>1</v>
      </c>
      <c r="D27">
        <f t="shared" si="0"/>
        <v>0.125</v>
      </c>
    </row>
    <row r="28" spans="1:8" x14ac:dyDescent="0.25">
      <c r="A28" t="s">
        <v>28</v>
      </c>
      <c r="B28" t="s">
        <v>55</v>
      </c>
      <c r="C28" s="1">
        <v>2</v>
      </c>
      <c r="D28">
        <f t="shared" si="0"/>
        <v>0.25</v>
      </c>
    </row>
    <row r="29" spans="1:8" x14ac:dyDescent="0.25">
      <c r="A29" t="s">
        <v>28</v>
      </c>
      <c r="B29" t="s">
        <v>56</v>
      </c>
      <c r="C29" s="1">
        <v>5</v>
      </c>
      <c r="D29">
        <f t="shared" si="0"/>
        <v>0.625</v>
      </c>
    </row>
    <row r="30" spans="1:8" x14ac:dyDescent="0.25">
      <c r="A30" t="s">
        <v>43</v>
      </c>
      <c r="B30" t="s">
        <v>54</v>
      </c>
      <c r="C30" s="1">
        <v>3</v>
      </c>
      <c r="D30">
        <f t="shared" si="0"/>
        <v>0.375</v>
      </c>
    </row>
    <row r="31" spans="1:8" x14ac:dyDescent="0.25">
      <c r="A31" t="s">
        <v>43</v>
      </c>
      <c r="B31" t="s">
        <v>55</v>
      </c>
      <c r="C31" s="1">
        <v>4</v>
      </c>
      <c r="D31">
        <f t="shared" si="0"/>
        <v>0.5</v>
      </c>
    </row>
    <row r="32" spans="1:8" x14ac:dyDescent="0.25">
      <c r="A32" t="s">
        <v>43</v>
      </c>
      <c r="B32" t="s">
        <v>56</v>
      </c>
      <c r="C32" s="1">
        <v>1</v>
      </c>
      <c r="D32">
        <f t="shared" si="0"/>
        <v>0.125</v>
      </c>
    </row>
    <row r="33" spans="1:4" x14ac:dyDescent="0.25">
      <c r="A33" t="s">
        <v>41</v>
      </c>
      <c r="B33" t="s">
        <v>54</v>
      </c>
      <c r="C33" s="1">
        <v>8</v>
      </c>
      <c r="D33">
        <f t="shared" si="0"/>
        <v>1</v>
      </c>
    </row>
    <row r="34" spans="1:4" x14ac:dyDescent="0.25">
      <c r="A34" t="s">
        <v>44</v>
      </c>
      <c r="C34" s="1">
        <v>96</v>
      </c>
    </row>
  </sheetData>
  <phoneticPr fontId="1" type="noConversion"/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A192-29B4-47DA-B19D-658B43735888}">
  <dimension ref="A3:E17"/>
  <sheetViews>
    <sheetView workbookViewId="0">
      <selection activeCell="J19" sqref="J19"/>
    </sheetView>
  </sheetViews>
  <sheetFormatPr defaultRowHeight="16.5" x14ac:dyDescent="0.25"/>
  <cols>
    <col min="1" max="1" width="14.75" bestFit="1" customWidth="1"/>
    <col min="2" max="4" width="13.5" bestFit="1" customWidth="1"/>
    <col min="5" max="5" width="10.875" style="5" bestFit="1" customWidth="1"/>
  </cols>
  <sheetData>
    <row r="3" spans="1:5" x14ac:dyDescent="0.25">
      <c r="A3" t="s">
        <v>51</v>
      </c>
      <c r="B3" t="s">
        <v>48</v>
      </c>
    </row>
    <row r="4" spans="1:5" x14ac:dyDescent="0.25">
      <c r="A4" t="s">
        <v>45</v>
      </c>
      <c r="B4" t="s">
        <v>46</v>
      </c>
      <c r="C4" t="s">
        <v>47</v>
      </c>
      <c r="D4" t="s">
        <v>44</v>
      </c>
      <c r="E4" s="5" t="s">
        <v>59</v>
      </c>
    </row>
    <row r="5" spans="1:5" x14ac:dyDescent="0.25">
      <c r="A5" t="s">
        <v>28</v>
      </c>
      <c r="B5">
        <v>11000</v>
      </c>
      <c r="C5">
        <v>48142.857142857145</v>
      </c>
      <c r="D5">
        <v>43500</v>
      </c>
      <c r="E5" s="5">
        <f t="shared" ref="E5:E16" si="0">ABS(C5-B5)</f>
        <v>37142.857142857145</v>
      </c>
    </row>
    <row r="6" spans="1:5" x14ac:dyDescent="0.25">
      <c r="A6" t="s">
        <v>36</v>
      </c>
      <c r="B6">
        <v>10500</v>
      </c>
      <c r="C6">
        <v>36000</v>
      </c>
      <c r="D6">
        <v>29625</v>
      </c>
      <c r="E6" s="5">
        <f t="shared" si="0"/>
        <v>25500</v>
      </c>
    </row>
    <row r="7" spans="1:5" x14ac:dyDescent="0.25">
      <c r="A7" t="s">
        <v>35</v>
      </c>
      <c r="B7">
        <v>7440</v>
      </c>
      <c r="C7">
        <v>32666.666666666668</v>
      </c>
      <c r="D7">
        <v>16900</v>
      </c>
      <c r="E7" s="5">
        <f t="shared" si="0"/>
        <v>25226.666666666668</v>
      </c>
    </row>
    <row r="8" spans="1:5" x14ac:dyDescent="0.25">
      <c r="A8" t="s">
        <v>25</v>
      </c>
      <c r="B8">
        <v>18187.5</v>
      </c>
      <c r="D8">
        <v>18187.5</v>
      </c>
      <c r="E8" s="5">
        <f t="shared" si="0"/>
        <v>18187.5</v>
      </c>
    </row>
    <row r="9" spans="1:5" x14ac:dyDescent="0.25">
      <c r="A9" t="s">
        <v>37</v>
      </c>
      <c r="B9">
        <v>14371.428571428571</v>
      </c>
      <c r="C9">
        <v>28000</v>
      </c>
      <c r="D9">
        <v>16075</v>
      </c>
      <c r="E9" s="5">
        <f t="shared" si="0"/>
        <v>13628.571428571429</v>
      </c>
    </row>
    <row r="10" spans="1:5" x14ac:dyDescent="0.25">
      <c r="A10" t="s">
        <v>43</v>
      </c>
      <c r="B10">
        <v>9483.3333333333339</v>
      </c>
      <c r="C10">
        <v>17650</v>
      </c>
      <c r="D10">
        <v>11525</v>
      </c>
      <c r="E10" s="5">
        <f t="shared" si="0"/>
        <v>8166.6666666666661</v>
      </c>
    </row>
    <row r="11" spans="1:5" x14ac:dyDescent="0.25">
      <c r="A11" t="s">
        <v>41</v>
      </c>
      <c r="B11">
        <v>17928.571428571428</v>
      </c>
      <c r="C11">
        <v>10500</v>
      </c>
      <c r="D11">
        <v>17000</v>
      </c>
      <c r="E11" s="5">
        <f t="shared" si="0"/>
        <v>7428.5714285714275</v>
      </c>
    </row>
    <row r="12" spans="1:5" x14ac:dyDescent="0.25">
      <c r="A12" t="s">
        <v>42</v>
      </c>
      <c r="B12">
        <v>12320</v>
      </c>
      <c r="C12">
        <v>18000</v>
      </c>
      <c r="D12">
        <v>14450</v>
      </c>
      <c r="E12" s="5">
        <f t="shared" si="0"/>
        <v>5680</v>
      </c>
    </row>
    <row r="13" spans="1:5" x14ac:dyDescent="0.25">
      <c r="A13" t="s">
        <v>31</v>
      </c>
      <c r="B13">
        <v>10700</v>
      </c>
      <c r="C13">
        <v>16350</v>
      </c>
      <c r="D13">
        <v>12112.5</v>
      </c>
      <c r="E13" s="5">
        <f t="shared" si="0"/>
        <v>5650</v>
      </c>
    </row>
    <row r="14" spans="1:5" x14ac:dyDescent="0.25">
      <c r="A14" t="s">
        <v>40</v>
      </c>
      <c r="B14">
        <v>8975</v>
      </c>
      <c r="C14">
        <v>6300</v>
      </c>
      <c r="D14">
        <v>7637.5</v>
      </c>
      <c r="E14" s="5">
        <f t="shared" si="0"/>
        <v>2675</v>
      </c>
    </row>
    <row r="15" spans="1:5" x14ac:dyDescent="0.25">
      <c r="A15" t="s">
        <v>33</v>
      </c>
      <c r="B15">
        <v>8500</v>
      </c>
      <c r="C15">
        <v>10200</v>
      </c>
      <c r="D15">
        <v>9350</v>
      </c>
      <c r="E15" s="5">
        <f t="shared" si="0"/>
        <v>1700</v>
      </c>
    </row>
    <row r="16" spans="1:5" x14ac:dyDescent="0.25">
      <c r="A16" t="s">
        <v>39</v>
      </c>
      <c r="B16">
        <v>7340</v>
      </c>
      <c r="C16">
        <v>8600</v>
      </c>
      <c r="D16">
        <v>7812.5</v>
      </c>
      <c r="E16" s="5">
        <f t="shared" si="0"/>
        <v>1260</v>
      </c>
    </row>
    <row r="17" spans="1:4" x14ac:dyDescent="0.25">
      <c r="A17" t="s">
        <v>44</v>
      </c>
      <c r="B17">
        <v>12168.333333333334</v>
      </c>
      <c r="C17">
        <v>25091.666666666668</v>
      </c>
      <c r="D17">
        <v>17014.583333333332</v>
      </c>
    </row>
  </sheetData>
  <sortState xmlns:xlrd2="http://schemas.microsoft.com/office/spreadsheetml/2017/richdata2" ref="A5:E16">
    <sortCondition descending="1" ref="E5:E16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2424-893D-4B98-871E-003AF97F14E4}">
  <dimension ref="A3:I18"/>
  <sheetViews>
    <sheetView workbookViewId="0">
      <selection activeCell="G3" sqref="G3"/>
    </sheetView>
  </sheetViews>
  <sheetFormatPr defaultRowHeight="16.5" x14ac:dyDescent="0.25"/>
  <cols>
    <col min="1" max="1" width="14.75" bestFit="1" customWidth="1"/>
    <col min="2" max="2" width="13.5" bestFit="1" customWidth="1"/>
    <col min="3" max="3" width="12.5" bestFit="1" customWidth="1"/>
    <col min="4" max="4" width="19.75" customWidth="1"/>
    <col min="5" max="5" width="13.125" bestFit="1" customWidth="1"/>
    <col min="6" max="6" width="22.75" bestFit="1" customWidth="1"/>
    <col min="7" max="7" width="22.75" customWidth="1"/>
    <col min="8" max="8" width="10.375" bestFit="1" customWidth="1"/>
    <col min="9" max="9" width="14.75" bestFit="1" customWidth="1"/>
  </cols>
  <sheetData>
    <row r="3" spans="1:9" x14ac:dyDescent="0.25">
      <c r="A3" s="2" t="s">
        <v>51</v>
      </c>
      <c r="B3" s="2" t="s">
        <v>48</v>
      </c>
    </row>
    <row r="4" spans="1:9" x14ac:dyDescent="0.25">
      <c r="A4" s="2" t="s">
        <v>45</v>
      </c>
      <c r="B4" t="s">
        <v>46</v>
      </c>
      <c r="C4" t="s">
        <v>47</v>
      </c>
      <c r="D4" t="s">
        <v>44</v>
      </c>
      <c r="E4" t="s">
        <v>61</v>
      </c>
      <c r="F4" t="s">
        <v>62</v>
      </c>
    </row>
    <row r="5" spans="1:9" x14ac:dyDescent="0.25">
      <c r="A5" s="6" t="s">
        <v>37</v>
      </c>
      <c r="B5" s="7">
        <v>18600</v>
      </c>
      <c r="C5" s="7">
        <v>15233.333333333334</v>
      </c>
      <c r="D5" s="7">
        <v>16075</v>
      </c>
      <c r="E5" s="4">
        <f>(B5-$D5)/$D5</f>
        <v>0.15707620528771385</v>
      </c>
      <c r="F5" s="4">
        <f>(C5-$D5)/$D5</f>
        <v>-5.2358735095904579E-2</v>
      </c>
      <c r="H5" s="2" t="s">
        <v>45</v>
      </c>
      <c r="I5" t="s">
        <v>51</v>
      </c>
    </row>
    <row r="6" spans="1:9" x14ac:dyDescent="0.25">
      <c r="A6" s="6" t="s">
        <v>42</v>
      </c>
      <c r="B6" s="7"/>
      <c r="C6" s="7">
        <v>14450</v>
      </c>
      <c r="D6" s="7">
        <v>14450</v>
      </c>
      <c r="E6" s="4">
        <f t="shared" ref="E6:E16" si="0">(B6-$D6)/$D6</f>
        <v>-1</v>
      </c>
      <c r="F6" s="4">
        <f t="shared" ref="F6:F16" si="1">(C6-$D6)/$D6</f>
        <v>0</v>
      </c>
      <c r="H6" s="3" t="s">
        <v>37</v>
      </c>
      <c r="I6" s="1">
        <v>16075</v>
      </c>
    </row>
    <row r="7" spans="1:9" x14ac:dyDescent="0.25">
      <c r="A7" s="3" t="s">
        <v>25</v>
      </c>
      <c r="B7" s="1"/>
      <c r="C7" s="1">
        <v>18187.5</v>
      </c>
      <c r="D7" s="1">
        <v>18187.5</v>
      </c>
      <c r="E7" s="8">
        <f t="shared" si="0"/>
        <v>-1</v>
      </c>
      <c r="F7" s="8">
        <f t="shared" si="1"/>
        <v>0</v>
      </c>
      <c r="H7" s="3" t="s">
        <v>42</v>
      </c>
      <c r="I7" s="1">
        <v>14450</v>
      </c>
    </row>
    <row r="8" spans="1:9" x14ac:dyDescent="0.25">
      <c r="A8" s="3" t="s">
        <v>31</v>
      </c>
      <c r="B8" s="1"/>
      <c r="C8" s="1">
        <v>12112.5</v>
      </c>
      <c r="D8" s="1">
        <v>12112.5</v>
      </c>
      <c r="E8" s="8">
        <f t="shared" si="0"/>
        <v>-1</v>
      </c>
      <c r="F8" s="8">
        <f t="shared" si="1"/>
        <v>0</v>
      </c>
      <c r="H8" s="3" t="s">
        <v>25</v>
      </c>
      <c r="I8" s="1">
        <v>18187.5</v>
      </c>
    </row>
    <row r="9" spans="1:9" x14ac:dyDescent="0.25">
      <c r="A9" s="3" t="s">
        <v>35</v>
      </c>
      <c r="B9" s="1"/>
      <c r="C9" s="1">
        <v>16900</v>
      </c>
      <c r="D9" s="1">
        <v>16900</v>
      </c>
      <c r="E9" s="8">
        <f t="shared" si="0"/>
        <v>-1</v>
      </c>
      <c r="F9" s="8">
        <f t="shared" si="1"/>
        <v>0</v>
      </c>
      <c r="H9" s="3" t="s">
        <v>31</v>
      </c>
      <c r="I9" s="1">
        <v>12112.5</v>
      </c>
    </row>
    <row r="10" spans="1:9" x14ac:dyDescent="0.25">
      <c r="A10" s="6" t="s">
        <v>36</v>
      </c>
      <c r="B10" s="7">
        <v>29625</v>
      </c>
      <c r="C10" s="7"/>
      <c r="D10" s="7">
        <v>29625</v>
      </c>
      <c r="E10" s="4">
        <f t="shared" si="0"/>
        <v>0</v>
      </c>
      <c r="F10" s="4">
        <f t="shared" si="1"/>
        <v>-1</v>
      </c>
      <c r="H10" s="3" t="s">
        <v>35</v>
      </c>
      <c r="I10" s="1">
        <v>16900</v>
      </c>
    </row>
    <row r="11" spans="1:9" x14ac:dyDescent="0.25">
      <c r="A11" s="6" t="s">
        <v>39</v>
      </c>
      <c r="B11" s="7">
        <v>7812.5</v>
      </c>
      <c r="C11" s="7"/>
      <c r="D11" s="7">
        <v>7812.5</v>
      </c>
      <c r="E11" s="4">
        <f t="shared" si="0"/>
        <v>0</v>
      </c>
      <c r="F11" s="4">
        <f t="shared" si="1"/>
        <v>-1</v>
      </c>
      <c r="H11" s="3" t="s">
        <v>36</v>
      </c>
      <c r="I11" s="1">
        <v>29625</v>
      </c>
    </row>
    <row r="12" spans="1:9" x14ac:dyDescent="0.25">
      <c r="A12" s="3" t="s">
        <v>40</v>
      </c>
      <c r="B12" s="1"/>
      <c r="C12" s="1">
        <v>7637.5</v>
      </c>
      <c r="D12" s="1">
        <v>7637.5</v>
      </c>
      <c r="E12" s="8">
        <f t="shared" si="0"/>
        <v>-1</v>
      </c>
      <c r="F12" s="8">
        <f t="shared" si="1"/>
        <v>0</v>
      </c>
      <c r="H12" s="3" t="s">
        <v>39</v>
      </c>
      <c r="I12" s="1">
        <v>7812.5</v>
      </c>
    </row>
    <row r="13" spans="1:9" x14ac:dyDescent="0.25">
      <c r="A13" s="6" t="s">
        <v>33</v>
      </c>
      <c r="B13" s="7">
        <v>5650</v>
      </c>
      <c r="C13" s="7">
        <v>10583.333333333334</v>
      </c>
      <c r="D13" s="7">
        <v>9350</v>
      </c>
      <c r="E13" s="4">
        <f t="shared" si="0"/>
        <v>-0.39572192513368987</v>
      </c>
      <c r="F13" s="4">
        <f t="shared" si="1"/>
        <v>0.13190730837789669</v>
      </c>
      <c r="H13" s="3" t="s">
        <v>40</v>
      </c>
      <c r="I13" s="1">
        <v>7637.5</v>
      </c>
    </row>
    <row r="14" spans="1:9" x14ac:dyDescent="0.25">
      <c r="A14" s="3" t="s">
        <v>28</v>
      </c>
      <c r="B14" s="1"/>
      <c r="C14" s="1">
        <v>43500</v>
      </c>
      <c r="D14" s="1">
        <v>43500</v>
      </c>
      <c r="E14" s="8">
        <f t="shared" si="0"/>
        <v>-1</v>
      </c>
      <c r="F14" s="8">
        <f t="shared" si="1"/>
        <v>0</v>
      </c>
      <c r="H14" s="3" t="s">
        <v>33</v>
      </c>
      <c r="I14" s="1">
        <v>9350</v>
      </c>
    </row>
    <row r="15" spans="1:9" x14ac:dyDescent="0.25">
      <c r="A15" s="6" t="s">
        <v>43</v>
      </c>
      <c r="B15" s="7">
        <v>5300</v>
      </c>
      <c r="C15" s="7">
        <v>12414.285714285714</v>
      </c>
      <c r="D15" s="7">
        <v>11525</v>
      </c>
      <c r="E15" s="4">
        <f t="shared" si="0"/>
        <v>-0.54013015184381774</v>
      </c>
      <c r="F15" s="4">
        <f t="shared" si="1"/>
        <v>7.7161450263402501E-2</v>
      </c>
      <c r="H15" s="3" t="s">
        <v>28</v>
      </c>
      <c r="I15" s="1">
        <v>43500</v>
      </c>
    </row>
    <row r="16" spans="1:9" x14ac:dyDescent="0.25">
      <c r="A16" s="3" t="s">
        <v>41</v>
      </c>
      <c r="B16" s="1"/>
      <c r="C16" s="1">
        <v>17000</v>
      </c>
      <c r="D16" s="1">
        <v>17000</v>
      </c>
      <c r="E16" s="8">
        <f t="shared" si="0"/>
        <v>-1</v>
      </c>
      <c r="F16" s="8">
        <f t="shared" si="1"/>
        <v>0</v>
      </c>
      <c r="H16" s="3" t="s">
        <v>43</v>
      </c>
      <c r="I16" s="1">
        <v>11525</v>
      </c>
    </row>
    <row r="17" spans="1:9" x14ac:dyDescent="0.25">
      <c r="A17" s="3" t="s">
        <v>44</v>
      </c>
      <c r="B17" s="1">
        <v>16823.809523809523</v>
      </c>
      <c r="C17" s="1">
        <v>17068</v>
      </c>
      <c r="D17" s="1">
        <v>17014.583333333332</v>
      </c>
      <c r="H17" s="3" t="s">
        <v>41</v>
      </c>
      <c r="I17" s="1">
        <v>17000</v>
      </c>
    </row>
    <row r="18" spans="1:9" x14ac:dyDescent="0.25">
      <c r="H18" s="3" t="s">
        <v>44</v>
      </c>
      <c r="I18" s="1">
        <v>17014.583333333332</v>
      </c>
    </row>
  </sheetData>
  <phoneticPr fontId="1" type="noConversion"/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225B-9E1E-4A8D-BFC7-DB11A389EEF2}">
  <dimension ref="A3:C16"/>
  <sheetViews>
    <sheetView workbookViewId="0">
      <selection activeCell="C4" sqref="C4"/>
    </sheetView>
  </sheetViews>
  <sheetFormatPr defaultRowHeight="16.5" x14ac:dyDescent="0.25"/>
  <cols>
    <col min="2" max="2" width="16.375" bestFit="1" customWidth="1"/>
    <col min="3" max="3" width="13.5" customWidth="1"/>
  </cols>
  <sheetData>
    <row r="3" spans="1:3" x14ac:dyDescent="0.25">
      <c r="A3" s="2" t="s">
        <v>45</v>
      </c>
      <c r="B3" s="5" t="s">
        <v>51</v>
      </c>
      <c r="C3" t="s">
        <v>66</v>
      </c>
    </row>
    <row r="4" spans="1:3" x14ac:dyDescent="0.25">
      <c r="A4" s="3" t="s">
        <v>37</v>
      </c>
      <c r="B4" s="5">
        <v>16075</v>
      </c>
      <c r="C4" s="9">
        <f>B4*1.5</f>
        <v>24112.5</v>
      </c>
    </row>
    <row r="5" spans="1:3" x14ac:dyDescent="0.25">
      <c r="A5" s="3" t="s">
        <v>42</v>
      </c>
      <c r="B5" s="5">
        <v>14450</v>
      </c>
      <c r="C5" s="9">
        <f t="shared" ref="C5:C15" si="0">B5*1.5</f>
        <v>21675</v>
      </c>
    </row>
    <row r="6" spans="1:3" x14ac:dyDescent="0.25">
      <c r="A6" s="3" t="s">
        <v>25</v>
      </c>
      <c r="B6" s="5">
        <v>18187.5</v>
      </c>
      <c r="C6" s="9">
        <f t="shared" si="0"/>
        <v>27281.25</v>
      </c>
    </row>
    <row r="7" spans="1:3" x14ac:dyDescent="0.25">
      <c r="A7" s="3" t="s">
        <v>31</v>
      </c>
      <c r="B7" s="5">
        <v>12112.5</v>
      </c>
      <c r="C7" s="9">
        <f t="shared" si="0"/>
        <v>18168.75</v>
      </c>
    </row>
    <row r="8" spans="1:3" x14ac:dyDescent="0.25">
      <c r="A8" s="3" t="s">
        <v>35</v>
      </c>
      <c r="B8" s="5">
        <v>16900</v>
      </c>
      <c r="C8" s="9">
        <f t="shared" si="0"/>
        <v>25350</v>
      </c>
    </row>
    <row r="9" spans="1:3" x14ac:dyDescent="0.25">
      <c r="A9" s="3" t="s">
        <v>36</v>
      </c>
      <c r="B9" s="5">
        <v>29625</v>
      </c>
      <c r="C9" s="9">
        <f t="shared" si="0"/>
        <v>44437.5</v>
      </c>
    </row>
    <row r="10" spans="1:3" x14ac:dyDescent="0.25">
      <c r="A10" s="3" t="s">
        <v>39</v>
      </c>
      <c r="B10" s="5">
        <v>7812.5</v>
      </c>
      <c r="C10" s="9">
        <f t="shared" si="0"/>
        <v>11718.75</v>
      </c>
    </row>
    <row r="11" spans="1:3" x14ac:dyDescent="0.25">
      <c r="A11" s="3" t="s">
        <v>40</v>
      </c>
      <c r="B11" s="5">
        <v>7637.5</v>
      </c>
      <c r="C11" s="9">
        <f t="shared" si="0"/>
        <v>11456.25</v>
      </c>
    </row>
    <row r="12" spans="1:3" x14ac:dyDescent="0.25">
      <c r="A12" s="3" t="s">
        <v>33</v>
      </c>
      <c r="B12" s="5">
        <v>9350</v>
      </c>
      <c r="C12" s="9">
        <f t="shared" si="0"/>
        <v>14025</v>
      </c>
    </row>
    <row r="13" spans="1:3" x14ac:dyDescent="0.25">
      <c r="A13" s="3" t="s">
        <v>28</v>
      </c>
      <c r="B13" s="5">
        <v>43500</v>
      </c>
      <c r="C13" s="9">
        <f t="shared" si="0"/>
        <v>65250</v>
      </c>
    </row>
    <row r="14" spans="1:3" x14ac:dyDescent="0.25">
      <c r="A14" s="3" t="s">
        <v>43</v>
      </c>
      <c r="B14" s="5">
        <v>11525</v>
      </c>
      <c r="C14" s="9">
        <f t="shared" si="0"/>
        <v>17287.5</v>
      </c>
    </row>
    <row r="15" spans="1:3" x14ac:dyDescent="0.25">
      <c r="A15" s="3" t="s">
        <v>41</v>
      </c>
      <c r="B15" s="5">
        <v>17000</v>
      </c>
      <c r="C15" s="9">
        <f t="shared" si="0"/>
        <v>25500</v>
      </c>
    </row>
    <row r="16" spans="1:3" x14ac:dyDescent="0.25">
      <c r="A16" s="3" t="s">
        <v>44</v>
      </c>
      <c r="B16" s="5">
        <v>17014.583333333332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A969-2B54-41EC-B360-EDF8C1E7F9B3}">
  <dimension ref="A2:P14"/>
  <sheetViews>
    <sheetView workbookViewId="0">
      <selection activeCell="J13" sqref="J13"/>
    </sheetView>
  </sheetViews>
  <sheetFormatPr defaultRowHeight="16.5" x14ac:dyDescent="0.25"/>
  <cols>
    <col min="1" max="1" width="12.25" bestFit="1" customWidth="1"/>
    <col min="2" max="2" width="20.375" bestFit="1" customWidth="1"/>
    <col min="3" max="3" width="2.5" bestFit="1" customWidth="1"/>
    <col min="4" max="4" width="6" bestFit="1" customWidth="1"/>
    <col min="5" max="5" width="7.125" bestFit="1" customWidth="1"/>
    <col min="6" max="6" width="21.625" bestFit="1" customWidth="1"/>
    <col min="7" max="7" width="30.5" bestFit="1" customWidth="1"/>
    <col min="8" max="8" width="13.125" bestFit="1" customWidth="1"/>
    <col min="9" max="9" width="9.25" bestFit="1" customWidth="1"/>
    <col min="10" max="10" width="7.125" bestFit="1" customWidth="1"/>
    <col min="11" max="11" width="12.125" bestFit="1" customWidth="1"/>
    <col min="12" max="12" width="28.125" bestFit="1" customWidth="1"/>
    <col min="13" max="13" width="38.25" bestFit="1" customWidth="1"/>
    <col min="15" max="15" width="10.125" bestFit="1" customWidth="1"/>
    <col min="16" max="16" width="14.625" style="5" bestFit="1" customWidth="1"/>
  </cols>
  <sheetData>
    <row r="2" spans="1:7" x14ac:dyDescent="0.25">
      <c r="A2" s="2" t="s">
        <v>67</v>
      </c>
      <c r="B2" t="s">
        <v>47</v>
      </c>
      <c r="F2" s="2" t="s">
        <v>69</v>
      </c>
      <c r="G2" t="s">
        <v>47</v>
      </c>
    </row>
    <row r="4" spans="1:7" x14ac:dyDescent="0.25">
      <c r="A4" s="2" t="s">
        <v>45</v>
      </c>
      <c r="B4" t="s">
        <v>71</v>
      </c>
      <c r="F4" s="2" t="s">
        <v>45</v>
      </c>
      <c r="G4" t="s">
        <v>72</v>
      </c>
    </row>
    <row r="5" spans="1:7" x14ac:dyDescent="0.25">
      <c r="A5" s="3" t="s">
        <v>37</v>
      </c>
      <c r="B5" s="1">
        <v>2</v>
      </c>
      <c r="C5">
        <f>IFERROR(VLOOKUP($A5,$F:$G,2,0),0)</f>
        <v>0</v>
      </c>
      <c r="D5">
        <f>C5/B5</f>
        <v>0</v>
      </c>
      <c r="F5" s="3" t="s">
        <v>25</v>
      </c>
      <c r="G5" s="1">
        <v>1</v>
      </c>
    </row>
    <row r="6" spans="1:7" x14ac:dyDescent="0.25">
      <c r="A6" s="3" t="s">
        <v>42</v>
      </c>
      <c r="B6" s="1">
        <v>2</v>
      </c>
      <c r="C6">
        <f t="shared" ref="C6:C13" si="0">IFERROR(VLOOKUP($A6,$F:$G,2,0),0)</f>
        <v>0</v>
      </c>
      <c r="D6">
        <f t="shared" ref="D6:D13" si="1">C6/B6</f>
        <v>0</v>
      </c>
      <c r="F6" s="3" t="s">
        <v>35</v>
      </c>
      <c r="G6" s="1">
        <v>3</v>
      </c>
    </row>
    <row r="7" spans="1:7" x14ac:dyDescent="0.25">
      <c r="A7" s="6" t="s">
        <v>25</v>
      </c>
      <c r="B7" s="7">
        <v>2</v>
      </c>
      <c r="C7">
        <f t="shared" si="0"/>
        <v>1</v>
      </c>
      <c r="D7">
        <f t="shared" si="1"/>
        <v>0.5</v>
      </c>
      <c r="F7" s="3" t="s">
        <v>36</v>
      </c>
      <c r="G7" s="1">
        <v>1</v>
      </c>
    </row>
    <row r="8" spans="1:7" x14ac:dyDescent="0.25">
      <c r="A8" s="6" t="s">
        <v>35</v>
      </c>
      <c r="B8" s="7">
        <v>3</v>
      </c>
      <c r="C8">
        <f t="shared" si="0"/>
        <v>3</v>
      </c>
      <c r="D8">
        <f t="shared" si="1"/>
        <v>1</v>
      </c>
      <c r="F8" s="3" t="s">
        <v>28</v>
      </c>
      <c r="G8" s="1">
        <v>1</v>
      </c>
    </row>
    <row r="9" spans="1:7" x14ac:dyDescent="0.25">
      <c r="A9" s="6" t="s">
        <v>36</v>
      </c>
      <c r="B9" s="7">
        <v>1</v>
      </c>
      <c r="C9">
        <f t="shared" si="0"/>
        <v>1</v>
      </c>
      <c r="D9">
        <f t="shared" si="1"/>
        <v>1</v>
      </c>
      <c r="F9" s="3" t="s">
        <v>43</v>
      </c>
      <c r="G9" s="1">
        <v>1</v>
      </c>
    </row>
    <row r="10" spans="1:7" x14ac:dyDescent="0.25">
      <c r="A10" s="3" t="s">
        <v>40</v>
      </c>
      <c r="B10" s="1">
        <v>1</v>
      </c>
      <c r="C10">
        <f t="shared" si="0"/>
        <v>0</v>
      </c>
      <c r="D10">
        <f t="shared" si="1"/>
        <v>0</v>
      </c>
      <c r="F10" s="3" t="s">
        <v>44</v>
      </c>
      <c r="G10" s="1">
        <v>7</v>
      </c>
    </row>
    <row r="11" spans="1:7" x14ac:dyDescent="0.25">
      <c r="A11" s="6" t="s">
        <v>28</v>
      </c>
      <c r="B11" s="7">
        <v>1</v>
      </c>
      <c r="C11">
        <f t="shared" si="0"/>
        <v>1</v>
      </c>
      <c r="D11">
        <f t="shared" si="1"/>
        <v>1</v>
      </c>
    </row>
    <row r="12" spans="1:7" x14ac:dyDescent="0.25">
      <c r="A12" s="6" t="s">
        <v>43</v>
      </c>
      <c r="B12" s="7">
        <v>1</v>
      </c>
      <c r="C12">
        <f t="shared" si="0"/>
        <v>1</v>
      </c>
      <c r="D12">
        <f t="shared" si="1"/>
        <v>1</v>
      </c>
    </row>
    <row r="13" spans="1:7" x14ac:dyDescent="0.25">
      <c r="A13" s="3" t="s">
        <v>41</v>
      </c>
      <c r="B13" s="1">
        <v>1</v>
      </c>
      <c r="C13">
        <f t="shared" si="0"/>
        <v>0</v>
      </c>
      <c r="D13">
        <f t="shared" si="1"/>
        <v>0</v>
      </c>
    </row>
    <row r="14" spans="1:7" x14ac:dyDescent="0.25">
      <c r="A14" s="3" t="s">
        <v>44</v>
      </c>
      <c r="B14" s="1">
        <v>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0EA4-135D-4A24-AE1A-51F1987D5346}">
  <dimension ref="A2:J99"/>
  <sheetViews>
    <sheetView topLeftCell="A61" workbookViewId="0">
      <selection activeCell="I90" sqref="I90"/>
      <pivotSelection pane="bottomRight" showHeader="1" extendable="1" axis="axisRow" dimension="1" start="87" min="80" max="88" activeRow="89" activeCol="8" previousRow="89" previousCol="8" click="1" r:id="rId1">
        <pivotArea dataOnly="0" fieldPosition="0">
          <references count="1">
            <reference field="3" count="1">
              <x v="73"/>
            </reference>
          </references>
        </pivotArea>
      </pivotSelection>
    </sheetView>
  </sheetViews>
  <sheetFormatPr defaultRowHeight="16.5" x14ac:dyDescent="0.25"/>
  <cols>
    <col min="1" max="1" width="10.125" bestFit="1" customWidth="1"/>
    <col min="2" max="2" width="14.625" bestFit="1" customWidth="1"/>
    <col min="3" max="3" width="15.875" bestFit="1" customWidth="1"/>
    <col min="4" max="4" width="10.875" style="5" bestFit="1" customWidth="1"/>
    <col min="8" max="8" width="10.25" bestFit="1" customWidth="1"/>
    <col min="9" max="9" width="7.875" bestFit="1" customWidth="1"/>
  </cols>
  <sheetData>
    <row r="2" spans="1:10" x14ac:dyDescent="0.25">
      <c r="H2" s="2" t="s">
        <v>45</v>
      </c>
      <c r="I2" s="2" t="s">
        <v>3</v>
      </c>
    </row>
    <row r="3" spans="1:10" x14ac:dyDescent="0.25">
      <c r="A3" s="2" t="s">
        <v>45</v>
      </c>
      <c r="B3" t="s">
        <v>51</v>
      </c>
      <c r="C3" t="s">
        <v>77</v>
      </c>
      <c r="H3" s="3" t="s">
        <v>37</v>
      </c>
      <c r="I3" s="3">
        <v>5200</v>
      </c>
      <c r="J3" t="str">
        <f>IF(I3&gt;=VLOOKUP(H3,$A:$D,4,0),"V","")</f>
        <v/>
      </c>
    </row>
    <row r="4" spans="1:10" x14ac:dyDescent="0.25">
      <c r="A4" s="3" t="s">
        <v>37</v>
      </c>
      <c r="B4" s="1">
        <v>16075</v>
      </c>
      <c r="C4" s="1">
        <v>9348.9113193538669</v>
      </c>
      <c r="D4" s="5">
        <f>B4+C4*2</f>
        <v>34772.82263870773</v>
      </c>
      <c r="H4" s="3" t="s">
        <v>37</v>
      </c>
      <c r="I4" s="3">
        <v>7800</v>
      </c>
      <c r="J4" t="str">
        <f t="shared" ref="J4:J67" si="0">IF(I4&gt;=VLOOKUP(H4,$A:$D,4,0),"V","")</f>
        <v/>
      </c>
    </row>
    <row r="5" spans="1:10" x14ac:dyDescent="0.25">
      <c r="A5" s="3" t="s">
        <v>42</v>
      </c>
      <c r="B5" s="1">
        <v>14450</v>
      </c>
      <c r="C5" s="1">
        <v>6901.5526203477266</v>
      </c>
      <c r="D5" s="5">
        <f t="shared" ref="D5:D15" si="1">B5+C5*2</f>
        <v>28253.105240695455</v>
      </c>
      <c r="H5" s="3" t="s">
        <v>37</v>
      </c>
      <c r="I5" s="3">
        <v>11500</v>
      </c>
      <c r="J5" t="str">
        <f t="shared" si="0"/>
        <v/>
      </c>
    </row>
    <row r="6" spans="1:10" x14ac:dyDescent="0.25">
      <c r="A6" s="3" t="s">
        <v>25</v>
      </c>
      <c r="B6" s="1">
        <v>18187.5</v>
      </c>
      <c r="C6" s="1">
        <v>16948.951716425247</v>
      </c>
      <c r="D6" s="5">
        <f t="shared" si="1"/>
        <v>52085.403432850493</v>
      </c>
      <c r="H6" s="3" t="s">
        <v>37</v>
      </c>
      <c r="I6" s="3">
        <v>13500</v>
      </c>
      <c r="J6" t="str">
        <f t="shared" si="0"/>
        <v/>
      </c>
    </row>
    <row r="7" spans="1:10" x14ac:dyDescent="0.25">
      <c r="A7" s="3" t="s">
        <v>31</v>
      </c>
      <c r="B7" s="1">
        <v>12112.5</v>
      </c>
      <c r="C7" s="1">
        <v>4301.6400526842253</v>
      </c>
      <c r="D7" s="5">
        <f t="shared" si="1"/>
        <v>20715.780105368452</v>
      </c>
      <c r="H7" s="3" t="s">
        <v>37</v>
      </c>
      <c r="I7" s="3">
        <v>14800</v>
      </c>
      <c r="J7" t="str">
        <f t="shared" si="0"/>
        <v/>
      </c>
    </row>
    <row r="8" spans="1:10" x14ac:dyDescent="0.25">
      <c r="A8" s="3" t="s">
        <v>35</v>
      </c>
      <c r="B8" s="1">
        <v>16900</v>
      </c>
      <c r="C8" s="1">
        <v>13576.450198781713</v>
      </c>
      <c r="D8" s="5">
        <f t="shared" si="1"/>
        <v>44052.900397563426</v>
      </c>
      <c r="H8" s="3" t="s">
        <v>37</v>
      </c>
      <c r="I8" s="3">
        <v>15800</v>
      </c>
      <c r="J8" t="str">
        <f t="shared" si="0"/>
        <v/>
      </c>
    </row>
    <row r="9" spans="1:10" x14ac:dyDescent="0.25">
      <c r="A9" s="3" t="s">
        <v>36</v>
      </c>
      <c r="B9" s="1">
        <v>29625</v>
      </c>
      <c r="C9" s="1">
        <v>15387.262821660555</v>
      </c>
      <c r="D9" s="5">
        <f t="shared" si="1"/>
        <v>60399.525643321111</v>
      </c>
      <c r="H9" s="3" t="s">
        <v>37</v>
      </c>
      <c r="I9" s="3">
        <v>28000</v>
      </c>
      <c r="J9" t="str">
        <f t="shared" si="0"/>
        <v/>
      </c>
    </row>
    <row r="10" spans="1:10" x14ac:dyDescent="0.25">
      <c r="A10" s="3" t="s">
        <v>39</v>
      </c>
      <c r="B10" s="1">
        <v>7812.5</v>
      </c>
      <c r="C10" s="1">
        <v>1258.6131823785825</v>
      </c>
      <c r="D10" s="5">
        <f t="shared" si="1"/>
        <v>10329.726364757165</v>
      </c>
      <c r="H10" s="3" t="s">
        <v>37</v>
      </c>
      <c r="I10" s="3">
        <v>32000</v>
      </c>
      <c r="J10" t="str">
        <f t="shared" si="0"/>
        <v/>
      </c>
    </row>
    <row r="11" spans="1:10" x14ac:dyDescent="0.25">
      <c r="A11" s="3" t="s">
        <v>40</v>
      </c>
      <c r="B11" s="1">
        <v>7637.5</v>
      </c>
      <c r="C11" s="1">
        <v>6213.1053887270073</v>
      </c>
      <c r="D11" s="10">
        <f t="shared" si="1"/>
        <v>20063.710777454013</v>
      </c>
      <c r="H11" s="3" t="s">
        <v>42</v>
      </c>
      <c r="I11" s="3">
        <v>4800</v>
      </c>
      <c r="J11" t="str">
        <f t="shared" si="0"/>
        <v/>
      </c>
    </row>
    <row r="12" spans="1:10" x14ac:dyDescent="0.25">
      <c r="A12" s="3" t="s">
        <v>33</v>
      </c>
      <c r="B12" s="1">
        <v>9350</v>
      </c>
      <c r="C12" s="1">
        <v>3160.4701277771046</v>
      </c>
      <c r="D12" s="5">
        <f t="shared" si="1"/>
        <v>15670.940255554209</v>
      </c>
      <c r="H12" s="3" t="s">
        <v>42</v>
      </c>
      <c r="I12" s="3">
        <v>7200</v>
      </c>
      <c r="J12" t="str">
        <f t="shared" si="0"/>
        <v/>
      </c>
    </row>
    <row r="13" spans="1:10" x14ac:dyDescent="0.25">
      <c r="A13" s="3" t="s">
        <v>28</v>
      </c>
      <c r="B13" s="1">
        <v>43500</v>
      </c>
      <c r="C13" s="1">
        <v>20901.127789120445</v>
      </c>
      <c r="D13" s="5">
        <f t="shared" si="1"/>
        <v>85302.255578240889</v>
      </c>
      <c r="H13" s="3" t="s">
        <v>42</v>
      </c>
      <c r="I13" s="3">
        <v>12800</v>
      </c>
      <c r="J13" t="str">
        <f t="shared" si="0"/>
        <v/>
      </c>
    </row>
    <row r="14" spans="1:10" x14ac:dyDescent="0.25">
      <c r="A14" s="3" t="s">
        <v>43</v>
      </c>
      <c r="B14" s="1">
        <v>11525</v>
      </c>
      <c r="C14" s="1">
        <v>7752.5571818041344</v>
      </c>
      <c r="D14" s="10">
        <f t="shared" si="1"/>
        <v>27030.114363608271</v>
      </c>
      <c r="H14" s="3" t="s">
        <v>42</v>
      </c>
      <c r="I14" s="3">
        <v>13800</v>
      </c>
      <c r="J14" t="str">
        <f t="shared" si="0"/>
        <v/>
      </c>
    </row>
    <row r="15" spans="1:10" x14ac:dyDescent="0.25">
      <c r="A15" s="3" t="s">
        <v>41</v>
      </c>
      <c r="B15" s="1">
        <v>17000</v>
      </c>
      <c r="C15" s="1">
        <v>7353.3277209321068</v>
      </c>
      <c r="D15" s="5">
        <f t="shared" si="1"/>
        <v>31706.655441864212</v>
      </c>
      <c r="H15" s="3" t="s">
        <v>42</v>
      </c>
      <c r="I15" s="3">
        <v>14200</v>
      </c>
      <c r="J15" t="str">
        <f t="shared" si="0"/>
        <v/>
      </c>
    </row>
    <row r="16" spans="1:10" x14ac:dyDescent="0.25">
      <c r="A16" s="3" t="s">
        <v>44</v>
      </c>
      <c r="B16" s="1">
        <v>17014.583333333332</v>
      </c>
      <c r="C16" s="1">
        <v>14319.893995246184</v>
      </c>
      <c r="H16" s="3" t="s">
        <v>42</v>
      </c>
      <c r="I16" s="3">
        <v>14800</v>
      </c>
      <c r="J16" t="str">
        <f t="shared" si="0"/>
        <v/>
      </c>
    </row>
    <row r="17" spans="8:10" x14ac:dyDescent="0.25">
      <c r="H17" s="3" t="s">
        <v>42</v>
      </c>
      <c r="I17" s="3">
        <v>23000</v>
      </c>
      <c r="J17" t="str">
        <f t="shared" si="0"/>
        <v/>
      </c>
    </row>
    <row r="18" spans="8:10" x14ac:dyDescent="0.25">
      <c r="H18" s="3" t="s">
        <v>42</v>
      </c>
      <c r="I18" s="3">
        <v>25000</v>
      </c>
      <c r="J18" t="str">
        <f t="shared" si="0"/>
        <v/>
      </c>
    </row>
    <row r="19" spans="8:10" x14ac:dyDescent="0.25">
      <c r="H19" s="3" t="s">
        <v>25</v>
      </c>
      <c r="I19" s="3">
        <v>6700</v>
      </c>
      <c r="J19" t="str">
        <f t="shared" si="0"/>
        <v/>
      </c>
    </row>
    <row r="20" spans="8:10" x14ac:dyDescent="0.25">
      <c r="H20" s="3" t="s">
        <v>25</v>
      </c>
      <c r="I20" s="3">
        <v>6800</v>
      </c>
      <c r="J20" t="str">
        <f t="shared" si="0"/>
        <v/>
      </c>
    </row>
    <row r="21" spans="8:10" x14ac:dyDescent="0.25">
      <c r="H21" s="3" t="s">
        <v>25</v>
      </c>
      <c r="I21" s="3">
        <v>6900</v>
      </c>
      <c r="J21" t="str">
        <f t="shared" si="0"/>
        <v/>
      </c>
    </row>
    <row r="22" spans="8:10" x14ac:dyDescent="0.25">
      <c r="H22" s="3" t="s">
        <v>25</v>
      </c>
      <c r="I22" s="3">
        <v>7100</v>
      </c>
      <c r="J22" t="str">
        <f t="shared" si="0"/>
        <v/>
      </c>
    </row>
    <row r="23" spans="8:10" x14ac:dyDescent="0.25">
      <c r="H23" s="3" t="s">
        <v>25</v>
      </c>
      <c r="I23" s="3">
        <v>12000</v>
      </c>
      <c r="J23" t="str">
        <f t="shared" si="0"/>
        <v/>
      </c>
    </row>
    <row r="24" spans="8:10" x14ac:dyDescent="0.25">
      <c r="H24" s="3" t="s">
        <v>25</v>
      </c>
      <c r="I24" s="3">
        <v>16000</v>
      </c>
      <c r="J24" t="str">
        <f t="shared" si="0"/>
        <v/>
      </c>
    </row>
    <row r="25" spans="8:10" x14ac:dyDescent="0.25">
      <c r="H25" s="3" t="s">
        <v>25</v>
      </c>
      <c r="I25" s="3">
        <v>42000</v>
      </c>
      <c r="J25" t="str">
        <f t="shared" si="0"/>
        <v/>
      </c>
    </row>
    <row r="26" spans="8:10" x14ac:dyDescent="0.25">
      <c r="H26" s="3" t="s">
        <v>25</v>
      </c>
      <c r="I26" s="3">
        <v>48000</v>
      </c>
      <c r="J26" t="str">
        <f t="shared" si="0"/>
        <v/>
      </c>
    </row>
    <row r="27" spans="8:10" x14ac:dyDescent="0.25">
      <c r="H27" s="3" t="s">
        <v>31</v>
      </c>
      <c r="I27" s="3">
        <v>6000</v>
      </c>
      <c r="J27" t="str">
        <f t="shared" si="0"/>
        <v/>
      </c>
    </row>
    <row r="28" spans="8:10" x14ac:dyDescent="0.25">
      <c r="H28" s="3" t="s">
        <v>31</v>
      </c>
      <c r="I28" s="3">
        <v>8000</v>
      </c>
      <c r="J28" t="str">
        <f t="shared" si="0"/>
        <v/>
      </c>
    </row>
    <row r="29" spans="8:10" x14ac:dyDescent="0.25">
      <c r="H29" s="3" t="s">
        <v>31</v>
      </c>
      <c r="I29" s="3">
        <v>9200</v>
      </c>
      <c r="J29" t="str">
        <f t="shared" si="0"/>
        <v/>
      </c>
    </row>
    <row r="30" spans="8:10" x14ac:dyDescent="0.25">
      <c r="H30" s="3" t="s">
        <v>31</v>
      </c>
      <c r="I30" s="3">
        <v>10000</v>
      </c>
      <c r="J30" t="str">
        <f t="shared" si="0"/>
        <v/>
      </c>
    </row>
    <row r="31" spans="8:10" x14ac:dyDescent="0.25">
      <c r="H31" s="3" t="s">
        <v>31</v>
      </c>
      <c r="I31" s="3">
        <v>14500</v>
      </c>
      <c r="J31" t="str">
        <f t="shared" si="0"/>
        <v/>
      </c>
    </row>
    <row r="32" spans="8:10" x14ac:dyDescent="0.25">
      <c r="H32" s="3" t="s">
        <v>31</v>
      </c>
      <c r="I32" s="3">
        <v>15500</v>
      </c>
      <c r="J32" t="str">
        <f t="shared" si="0"/>
        <v/>
      </c>
    </row>
    <row r="33" spans="8:10" x14ac:dyDescent="0.25">
      <c r="H33" s="3" t="s">
        <v>31</v>
      </c>
      <c r="I33" s="3">
        <v>16500</v>
      </c>
      <c r="J33" t="str">
        <f t="shared" si="0"/>
        <v/>
      </c>
    </row>
    <row r="34" spans="8:10" x14ac:dyDescent="0.25">
      <c r="H34" s="3" t="s">
        <v>31</v>
      </c>
      <c r="I34" s="3">
        <v>17200</v>
      </c>
      <c r="J34" t="str">
        <f t="shared" si="0"/>
        <v/>
      </c>
    </row>
    <row r="35" spans="8:10" x14ac:dyDescent="0.25">
      <c r="H35" s="3" t="s">
        <v>35</v>
      </c>
      <c r="I35" s="3">
        <v>5400</v>
      </c>
      <c r="J35" t="str">
        <f t="shared" si="0"/>
        <v/>
      </c>
    </row>
    <row r="36" spans="8:10" x14ac:dyDescent="0.25">
      <c r="H36" s="3" t="s">
        <v>35</v>
      </c>
      <c r="I36" s="3">
        <v>5900</v>
      </c>
      <c r="J36" t="str">
        <f t="shared" si="0"/>
        <v/>
      </c>
    </row>
    <row r="37" spans="8:10" x14ac:dyDescent="0.25">
      <c r="H37" s="3" t="s">
        <v>35</v>
      </c>
      <c r="I37" s="3">
        <v>6100</v>
      </c>
      <c r="J37" t="str">
        <f t="shared" si="0"/>
        <v/>
      </c>
    </row>
    <row r="38" spans="8:10" x14ac:dyDescent="0.25">
      <c r="H38" s="3" t="s">
        <v>35</v>
      </c>
      <c r="I38" s="3">
        <v>6300</v>
      </c>
      <c r="J38" t="str">
        <f t="shared" si="0"/>
        <v/>
      </c>
    </row>
    <row r="39" spans="8:10" x14ac:dyDescent="0.25">
      <c r="H39" s="3" t="s">
        <v>35</v>
      </c>
      <c r="I39" s="3">
        <v>13500</v>
      </c>
      <c r="J39" t="str">
        <f t="shared" si="0"/>
        <v/>
      </c>
    </row>
    <row r="40" spans="8:10" x14ac:dyDescent="0.25">
      <c r="H40" s="3" t="s">
        <v>35</v>
      </c>
      <c r="I40" s="3">
        <v>28000</v>
      </c>
      <c r="J40" t="str">
        <f t="shared" si="0"/>
        <v/>
      </c>
    </row>
    <row r="41" spans="8:10" x14ac:dyDescent="0.25">
      <c r="H41" s="3" t="s">
        <v>35</v>
      </c>
      <c r="I41" s="3">
        <v>32000</v>
      </c>
      <c r="J41" t="str">
        <f t="shared" si="0"/>
        <v/>
      </c>
    </row>
    <row r="42" spans="8:10" x14ac:dyDescent="0.25">
      <c r="H42" s="3" t="s">
        <v>35</v>
      </c>
      <c r="I42" s="3">
        <v>38000</v>
      </c>
      <c r="J42" t="str">
        <f t="shared" si="0"/>
        <v/>
      </c>
    </row>
    <row r="43" spans="8:10" x14ac:dyDescent="0.25">
      <c r="H43" s="3" t="s">
        <v>36</v>
      </c>
      <c r="I43" s="3">
        <v>8500</v>
      </c>
      <c r="J43" t="str">
        <f t="shared" si="0"/>
        <v/>
      </c>
    </row>
    <row r="44" spans="8:10" x14ac:dyDescent="0.25">
      <c r="H44" s="3" t="s">
        <v>36</v>
      </c>
      <c r="I44" s="3">
        <v>12500</v>
      </c>
      <c r="J44" t="str">
        <f t="shared" si="0"/>
        <v/>
      </c>
    </row>
    <row r="45" spans="8:10" x14ac:dyDescent="0.25">
      <c r="H45" s="3" t="s">
        <v>36</v>
      </c>
      <c r="I45" s="3">
        <v>15000</v>
      </c>
      <c r="J45" t="str">
        <f t="shared" si="0"/>
        <v/>
      </c>
    </row>
    <row r="46" spans="8:10" x14ac:dyDescent="0.25">
      <c r="H46" s="3" t="s">
        <v>36</v>
      </c>
      <c r="I46" s="3">
        <v>33000</v>
      </c>
      <c r="J46" t="str">
        <f t="shared" si="0"/>
        <v/>
      </c>
    </row>
    <row r="47" spans="8:10" x14ac:dyDescent="0.25">
      <c r="H47" s="3" t="s">
        <v>36</v>
      </c>
      <c r="I47" s="3">
        <v>36000</v>
      </c>
      <c r="J47" t="str">
        <f t="shared" si="0"/>
        <v/>
      </c>
    </row>
    <row r="48" spans="8:10" x14ac:dyDescent="0.25">
      <c r="H48" s="3" t="s">
        <v>36</v>
      </c>
      <c r="I48" s="3">
        <v>40000</v>
      </c>
      <c r="J48" t="str">
        <f t="shared" si="0"/>
        <v/>
      </c>
    </row>
    <row r="49" spans="8:10" x14ac:dyDescent="0.25">
      <c r="H49" s="3" t="s">
        <v>36</v>
      </c>
      <c r="I49" s="3">
        <v>44000</v>
      </c>
      <c r="J49" t="str">
        <f t="shared" si="0"/>
        <v/>
      </c>
    </row>
    <row r="50" spans="8:10" x14ac:dyDescent="0.25">
      <c r="H50" s="3" t="s">
        <v>36</v>
      </c>
      <c r="I50" s="3">
        <v>48000</v>
      </c>
      <c r="J50" t="str">
        <f t="shared" si="0"/>
        <v/>
      </c>
    </row>
    <row r="51" spans="8:10" x14ac:dyDescent="0.25">
      <c r="H51" s="3" t="s">
        <v>39</v>
      </c>
      <c r="I51" s="3">
        <v>5100</v>
      </c>
      <c r="J51" t="str">
        <f t="shared" si="0"/>
        <v/>
      </c>
    </row>
    <row r="52" spans="8:10" x14ac:dyDescent="0.25">
      <c r="H52" s="3" t="s">
        <v>39</v>
      </c>
      <c r="I52" s="3">
        <v>7500</v>
      </c>
      <c r="J52" t="str">
        <f t="shared" si="0"/>
        <v/>
      </c>
    </row>
    <row r="53" spans="8:10" x14ac:dyDescent="0.25">
      <c r="H53" s="3" t="s">
        <v>39</v>
      </c>
      <c r="I53" s="3">
        <v>7600</v>
      </c>
      <c r="J53" t="str">
        <f t="shared" si="0"/>
        <v/>
      </c>
    </row>
    <row r="54" spans="8:10" x14ac:dyDescent="0.25">
      <c r="H54" s="3" t="s">
        <v>39</v>
      </c>
      <c r="I54" s="3">
        <v>7900</v>
      </c>
      <c r="J54" t="str">
        <f t="shared" si="0"/>
        <v/>
      </c>
    </row>
    <row r="55" spans="8:10" x14ac:dyDescent="0.25">
      <c r="H55" s="3" t="s">
        <v>39</v>
      </c>
      <c r="I55" s="3">
        <v>8200</v>
      </c>
      <c r="J55" t="str">
        <f t="shared" si="0"/>
        <v/>
      </c>
    </row>
    <row r="56" spans="8:10" x14ac:dyDescent="0.25">
      <c r="H56" s="3" t="s">
        <v>39</v>
      </c>
      <c r="I56" s="3">
        <v>8300</v>
      </c>
      <c r="J56" t="str">
        <f t="shared" si="0"/>
        <v/>
      </c>
    </row>
    <row r="57" spans="8:10" x14ac:dyDescent="0.25">
      <c r="H57" s="3" t="s">
        <v>39</v>
      </c>
      <c r="I57" s="3">
        <v>8400</v>
      </c>
      <c r="J57" t="str">
        <f t="shared" si="0"/>
        <v/>
      </c>
    </row>
    <row r="58" spans="8:10" x14ac:dyDescent="0.25">
      <c r="H58" s="3" t="s">
        <v>39</v>
      </c>
      <c r="I58" s="3">
        <v>9500</v>
      </c>
      <c r="J58" t="str">
        <f t="shared" si="0"/>
        <v/>
      </c>
    </row>
    <row r="59" spans="8:10" x14ac:dyDescent="0.25">
      <c r="H59" s="3" t="s">
        <v>40</v>
      </c>
      <c r="I59" s="3">
        <v>4400</v>
      </c>
      <c r="J59" t="str">
        <f t="shared" si="0"/>
        <v/>
      </c>
    </row>
    <row r="60" spans="8:10" x14ac:dyDescent="0.25">
      <c r="H60" s="3" t="s">
        <v>40</v>
      </c>
      <c r="I60" s="3">
        <v>4500</v>
      </c>
      <c r="J60" t="str">
        <f t="shared" si="0"/>
        <v/>
      </c>
    </row>
    <row r="61" spans="8:10" x14ac:dyDescent="0.25">
      <c r="H61" s="3" t="s">
        <v>40</v>
      </c>
      <c r="I61" s="3">
        <v>4600</v>
      </c>
      <c r="J61" t="str">
        <f t="shared" si="0"/>
        <v/>
      </c>
    </row>
    <row r="62" spans="8:10" x14ac:dyDescent="0.25">
      <c r="H62" s="3" t="s">
        <v>40</v>
      </c>
      <c r="I62" s="3">
        <v>4700</v>
      </c>
      <c r="J62" t="str">
        <f t="shared" si="0"/>
        <v/>
      </c>
    </row>
    <row r="63" spans="8:10" x14ac:dyDescent="0.25">
      <c r="H63" s="3" t="s">
        <v>40</v>
      </c>
      <c r="I63" s="3">
        <v>4900</v>
      </c>
      <c r="J63" t="str">
        <f t="shared" si="0"/>
        <v/>
      </c>
    </row>
    <row r="64" spans="8:10" x14ac:dyDescent="0.25">
      <c r="H64" s="3" t="s">
        <v>40</v>
      </c>
      <c r="I64" s="3">
        <v>5000</v>
      </c>
      <c r="J64" t="str">
        <f t="shared" si="0"/>
        <v/>
      </c>
    </row>
    <row r="65" spans="8:10" x14ac:dyDescent="0.25">
      <c r="H65" s="3" t="s">
        <v>40</v>
      </c>
      <c r="I65" s="3">
        <v>11000</v>
      </c>
      <c r="J65" t="str">
        <f t="shared" si="0"/>
        <v/>
      </c>
    </row>
    <row r="66" spans="8:10" x14ac:dyDescent="0.25">
      <c r="H66" s="3" t="s">
        <v>40</v>
      </c>
      <c r="I66" s="3">
        <v>22000</v>
      </c>
      <c r="J66" t="str">
        <f t="shared" si="0"/>
        <v>V</v>
      </c>
    </row>
    <row r="67" spans="8:10" x14ac:dyDescent="0.25">
      <c r="H67" s="3" t="s">
        <v>33</v>
      </c>
      <c r="I67" s="3">
        <v>5500</v>
      </c>
      <c r="J67" t="str">
        <f t="shared" si="0"/>
        <v/>
      </c>
    </row>
    <row r="68" spans="8:10" x14ac:dyDescent="0.25">
      <c r="H68" s="3" t="s">
        <v>33</v>
      </c>
      <c r="I68" s="3">
        <v>5800</v>
      </c>
      <c r="J68" t="str">
        <f t="shared" ref="J68:J99" si="2">IF(I68&gt;=VLOOKUP(H68,$A:$D,4,0),"V","")</f>
        <v/>
      </c>
    </row>
    <row r="69" spans="8:10" x14ac:dyDescent="0.25">
      <c r="H69" s="3" t="s">
        <v>33</v>
      </c>
      <c r="I69" s="3">
        <v>6200</v>
      </c>
      <c r="J69" t="str">
        <f t="shared" si="2"/>
        <v/>
      </c>
    </row>
    <row r="70" spans="8:10" x14ac:dyDescent="0.25">
      <c r="H70" s="3" t="s">
        <v>33</v>
      </c>
      <c r="I70" s="3">
        <v>9800</v>
      </c>
      <c r="J70" t="str">
        <f t="shared" si="2"/>
        <v/>
      </c>
    </row>
    <row r="71" spans="8:10" x14ac:dyDescent="0.25">
      <c r="H71" s="3" t="s">
        <v>33</v>
      </c>
      <c r="I71" s="3">
        <v>10500</v>
      </c>
      <c r="J71" t="str">
        <f t="shared" si="2"/>
        <v/>
      </c>
    </row>
    <row r="72" spans="8:10" x14ac:dyDescent="0.25">
      <c r="H72" s="3" t="s">
        <v>33</v>
      </c>
      <c r="I72" s="3">
        <v>11200</v>
      </c>
      <c r="J72" t="str">
        <f t="shared" si="2"/>
        <v/>
      </c>
    </row>
    <row r="73" spans="8:10" x14ac:dyDescent="0.25">
      <c r="H73" s="3" t="s">
        <v>33</v>
      </c>
      <c r="I73" s="3">
        <v>11800</v>
      </c>
      <c r="J73" t="str">
        <f t="shared" si="2"/>
        <v/>
      </c>
    </row>
    <row r="74" spans="8:10" x14ac:dyDescent="0.25">
      <c r="H74" s="3" t="s">
        <v>33</v>
      </c>
      <c r="I74" s="3">
        <v>14000</v>
      </c>
      <c r="J74" t="str">
        <f t="shared" si="2"/>
        <v/>
      </c>
    </row>
    <row r="75" spans="8:10" x14ac:dyDescent="0.25">
      <c r="H75" s="3" t="s">
        <v>28</v>
      </c>
      <c r="I75" s="3">
        <v>11000</v>
      </c>
      <c r="J75" t="str">
        <f t="shared" si="2"/>
        <v/>
      </c>
    </row>
    <row r="76" spans="8:10" x14ac:dyDescent="0.25">
      <c r="H76" s="3" t="s">
        <v>28</v>
      </c>
      <c r="I76" s="3">
        <v>17000</v>
      </c>
      <c r="J76" t="str">
        <f t="shared" si="2"/>
        <v/>
      </c>
    </row>
    <row r="77" spans="8:10" x14ac:dyDescent="0.25">
      <c r="H77" s="3" t="s">
        <v>28</v>
      </c>
      <c r="I77" s="3">
        <v>35000</v>
      </c>
      <c r="J77" t="str">
        <f t="shared" si="2"/>
        <v/>
      </c>
    </row>
    <row r="78" spans="8:10" x14ac:dyDescent="0.25">
      <c r="H78" s="3" t="s">
        <v>28</v>
      </c>
      <c r="I78" s="3">
        <v>45000</v>
      </c>
      <c r="J78" t="str">
        <f t="shared" si="2"/>
        <v/>
      </c>
    </row>
    <row r="79" spans="8:10" x14ac:dyDescent="0.25">
      <c r="H79" s="3" t="s">
        <v>28</v>
      </c>
      <c r="I79" s="3">
        <v>52000</v>
      </c>
      <c r="J79" t="str">
        <f t="shared" si="2"/>
        <v/>
      </c>
    </row>
    <row r="80" spans="8:10" x14ac:dyDescent="0.25">
      <c r="H80" s="3" t="s">
        <v>28</v>
      </c>
      <c r="I80" s="3">
        <v>58000</v>
      </c>
      <c r="J80" t="str">
        <f t="shared" si="2"/>
        <v/>
      </c>
    </row>
    <row r="81" spans="8:10" x14ac:dyDescent="0.25">
      <c r="H81" s="3" t="s">
        <v>28</v>
      </c>
      <c r="I81" s="3">
        <v>62000</v>
      </c>
      <c r="J81" t="str">
        <f t="shared" si="2"/>
        <v/>
      </c>
    </row>
    <row r="82" spans="8:10" x14ac:dyDescent="0.25">
      <c r="H82" s="3" t="s">
        <v>28</v>
      </c>
      <c r="I82" s="3">
        <v>68000</v>
      </c>
      <c r="J82" t="str">
        <f t="shared" si="2"/>
        <v/>
      </c>
    </row>
    <row r="83" spans="8:10" x14ac:dyDescent="0.25">
      <c r="H83" s="3" t="s">
        <v>43</v>
      </c>
      <c r="I83" s="3">
        <v>5300</v>
      </c>
      <c r="J83" t="str">
        <f t="shared" si="2"/>
        <v/>
      </c>
    </row>
    <row r="84" spans="8:10" x14ac:dyDescent="0.25">
      <c r="H84" s="3" t="s">
        <v>43</v>
      </c>
      <c r="I84" s="3">
        <v>8100</v>
      </c>
      <c r="J84" t="str">
        <f t="shared" si="2"/>
        <v/>
      </c>
    </row>
    <row r="85" spans="8:10" x14ac:dyDescent="0.25">
      <c r="H85" s="3" t="s">
        <v>43</v>
      </c>
      <c r="I85" s="3">
        <v>8700</v>
      </c>
      <c r="J85" t="str">
        <f t="shared" si="2"/>
        <v/>
      </c>
    </row>
    <row r="86" spans="8:10" x14ac:dyDescent="0.25">
      <c r="H86" s="3" t="s">
        <v>43</v>
      </c>
      <c r="I86" s="3">
        <v>8800</v>
      </c>
      <c r="J86" t="str">
        <f t="shared" si="2"/>
        <v/>
      </c>
    </row>
    <row r="87" spans="8:10" x14ac:dyDescent="0.25">
      <c r="H87" s="3" t="s">
        <v>43</v>
      </c>
      <c r="I87" s="3">
        <v>9000</v>
      </c>
      <c r="J87" t="str">
        <f t="shared" si="2"/>
        <v/>
      </c>
    </row>
    <row r="88" spans="8:10" x14ac:dyDescent="0.25">
      <c r="H88" s="3" t="s">
        <v>43</v>
      </c>
      <c r="I88" s="3">
        <v>9300</v>
      </c>
      <c r="J88" t="str">
        <f t="shared" si="2"/>
        <v/>
      </c>
    </row>
    <row r="89" spans="8:10" x14ac:dyDescent="0.25">
      <c r="H89" s="3" t="s">
        <v>43</v>
      </c>
      <c r="I89" s="3">
        <v>13000</v>
      </c>
      <c r="J89" t="str">
        <f t="shared" si="2"/>
        <v/>
      </c>
    </row>
    <row r="90" spans="8:10" x14ac:dyDescent="0.25">
      <c r="H90" s="3" t="s">
        <v>43</v>
      </c>
      <c r="I90" s="3">
        <v>30000</v>
      </c>
      <c r="J90" t="str">
        <f t="shared" si="2"/>
        <v>V</v>
      </c>
    </row>
    <row r="91" spans="8:10" x14ac:dyDescent="0.25">
      <c r="H91" s="3" t="s">
        <v>41</v>
      </c>
      <c r="I91" s="3">
        <v>7000</v>
      </c>
      <c r="J91" t="str">
        <f t="shared" si="2"/>
        <v/>
      </c>
    </row>
    <row r="92" spans="8:10" x14ac:dyDescent="0.25">
      <c r="H92" s="3" t="s">
        <v>41</v>
      </c>
      <c r="I92" s="3">
        <v>9000</v>
      </c>
      <c r="J92" t="str">
        <f t="shared" si="2"/>
        <v/>
      </c>
    </row>
    <row r="93" spans="8:10" x14ac:dyDescent="0.25">
      <c r="H93" s="3" t="s">
        <v>41</v>
      </c>
      <c r="I93" s="3">
        <v>10500</v>
      </c>
      <c r="J93" t="str">
        <f t="shared" si="2"/>
        <v/>
      </c>
    </row>
    <row r="94" spans="8:10" x14ac:dyDescent="0.25">
      <c r="H94" s="3" t="s">
        <v>41</v>
      </c>
      <c r="I94" s="3">
        <v>18000</v>
      </c>
      <c r="J94" t="str">
        <f t="shared" si="2"/>
        <v/>
      </c>
    </row>
    <row r="95" spans="8:10" x14ac:dyDescent="0.25">
      <c r="H95" s="3" t="s">
        <v>41</v>
      </c>
      <c r="I95" s="3">
        <v>19500</v>
      </c>
      <c r="J95" t="str">
        <f t="shared" si="2"/>
        <v/>
      </c>
    </row>
    <row r="96" spans="8:10" x14ac:dyDescent="0.25">
      <c r="H96" s="3" t="s">
        <v>41</v>
      </c>
      <c r="I96" s="3">
        <v>21000</v>
      </c>
      <c r="J96" t="str">
        <f t="shared" si="2"/>
        <v/>
      </c>
    </row>
    <row r="97" spans="8:10" x14ac:dyDescent="0.25">
      <c r="H97" s="3" t="s">
        <v>41</v>
      </c>
      <c r="I97" s="3">
        <v>24000</v>
      </c>
      <c r="J97" t="str">
        <f t="shared" si="2"/>
        <v/>
      </c>
    </row>
    <row r="98" spans="8:10" x14ac:dyDescent="0.25">
      <c r="H98" s="3" t="s">
        <v>41</v>
      </c>
      <c r="I98" s="3">
        <v>27000</v>
      </c>
      <c r="J98" t="str">
        <f t="shared" si="2"/>
        <v/>
      </c>
    </row>
    <row r="99" spans="8:10" x14ac:dyDescent="0.25">
      <c r="H99" s="3" t="s">
        <v>44</v>
      </c>
      <c r="J99" t="str">
        <f t="shared" si="2"/>
        <v>V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26B1-927A-4085-8E7E-72E72A1F1E1A}">
  <dimension ref="A3:D17"/>
  <sheetViews>
    <sheetView workbookViewId="0">
      <selection activeCell="A8" sqref="A8"/>
    </sheetView>
  </sheetViews>
  <sheetFormatPr defaultRowHeight="16.5" x14ac:dyDescent="0.25"/>
  <cols>
    <col min="1" max="1" width="19.125" bestFit="1" customWidth="1"/>
    <col min="2" max="2" width="10.125" bestFit="1" customWidth="1"/>
    <col min="3" max="3" width="7.125" bestFit="1" customWidth="1"/>
    <col min="4" max="4" width="6" bestFit="1" customWidth="1"/>
  </cols>
  <sheetData>
    <row r="3" spans="1:4" x14ac:dyDescent="0.25">
      <c r="A3" s="2" t="s">
        <v>78</v>
      </c>
      <c r="B3" s="2" t="s">
        <v>48</v>
      </c>
    </row>
    <row r="4" spans="1:4" x14ac:dyDescent="0.25">
      <c r="A4" s="2" t="s">
        <v>45</v>
      </c>
      <c r="B4" t="s">
        <v>46</v>
      </c>
      <c r="C4" t="s">
        <v>47</v>
      </c>
      <c r="D4" t="s">
        <v>44</v>
      </c>
    </row>
    <row r="5" spans="1:4" x14ac:dyDescent="0.25">
      <c r="A5" s="3" t="s">
        <v>37</v>
      </c>
      <c r="B5" s="1">
        <v>6</v>
      </c>
      <c r="C5" s="1">
        <v>2</v>
      </c>
      <c r="D5" s="1">
        <v>8</v>
      </c>
    </row>
    <row r="6" spans="1:4" x14ac:dyDescent="0.25">
      <c r="A6" s="6" t="s">
        <v>42</v>
      </c>
      <c r="B6" s="1">
        <v>8</v>
      </c>
      <c r="C6" s="7"/>
      <c r="D6" s="1">
        <v>8</v>
      </c>
    </row>
    <row r="7" spans="1:4" x14ac:dyDescent="0.25">
      <c r="A7" s="3" t="s">
        <v>25</v>
      </c>
      <c r="B7" s="1">
        <v>7</v>
      </c>
      <c r="C7" s="1">
        <v>1</v>
      </c>
      <c r="D7" s="1">
        <v>8</v>
      </c>
    </row>
    <row r="8" spans="1:4" x14ac:dyDescent="0.25">
      <c r="A8" s="6" t="s">
        <v>31</v>
      </c>
      <c r="B8" s="1">
        <v>8</v>
      </c>
      <c r="C8" s="7"/>
      <c r="D8" s="1">
        <v>8</v>
      </c>
    </row>
    <row r="9" spans="1:4" x14ac:dyDescent="0.25">
      <c r="A9" s="3" t="s">
        <v>35</v>
      </c>
      <c r="B9" s="1">
        <v>5</v>
      </c>
      <c r="C9" s="1">
        <v>3</v>
      </c>
      <c r="D9" s="1">
        <v>8</v>
      </c>
    </row>
    <row r="10" spans="1:4" x14ac:dyDescent="0.25">
      <c r="A10" s="3" t="s">
        <v>36</v>
      </c>
      <c r="B10" s="1">
        <v>2</v>
      </c>
      <c r="C10" s="1">
        <v>6</v>
      </c>
      <c r="D10" s="1">
        <v>8</v>
      </c>
    </row>
    <row r="11" spans="1:4" x14ac:dyDescent="0.25">
      <c r="A11" s="6" t="s">
        <v>39</v>
      </c>
      <c r="B11" s="1">
        <v>8</v>
      </c>
      <c r="C11" s="7"/>
      <c r="D11" s="1">
        <v>8</v>
      </c>
    </row>
    <row r="12" spans="1:4" x14ac:dyDescent="0.25">
      <c r="A12" s="6" t="s">
        <v>40</v>
      </c>
      <c r="B12" s="1">
        <v>8</v>
      </c>
      <c r="C12" s="7"/>
      <c r="D12" s="1">
        <v>8</v>
      </c>
    </row>
    <row r="13" spans="1:4" x14ac:dyDescent="0.25">
      <c r="A13" s="6" t="s">
        <v>33</v>
      </c>
      <c r="B13" s="1">
        <v>8</v>
      </c>
      <c r="C13" s="7"/>
      <c r="D13" s="1">
        <v>8</v>
      </c>
    </row>
    <row r="14" spans="1:4" x14ac:dyDescent="0.25">
      <c r="A14" s="3" t="s">
        <v>28</v>
      </c>
      <c r="B14" s="1">
        <v>3</v>
      </c>
      <c r="C14" s="1">
        <v>5</v>
      </c>
      <c r="D14" s="1">
        <v>8</v>
      </c>
    </row>
    <row r="15" spans="1:4" x14ac:dyDescent="0.25">
      <c r="A15" s="3" t="s">
        <v>43</v>
      </c>
      <c r="B15" s="1">
        <v>7</v>
      </c>
      <c r="C15" s="1">
        <v>1</v>
      </c>
      <c r="D15" s="1">
        <v>8</v>
      </c>
    </row>
    <row r="16" spans="1:4" x14ac:dyDescent="0.25">
      <c r="A16" s="6" t="s">
        <v>41</v>
      </c>
      <c r="B16" s="1">
        <v>8</v>
      </c>
      <c r="C16" s="7"/>
      <c r="D16" s="1">
        <v>8</v>
      </c>
    </row>
    <row r="17" spans="1:4" x14ac:dyDescent="0.25">
      <c r="A17" s="3" t="s">
        <v>44</v>
      </c>
      <c r="B17" s="1">
        <v>78</v>
      </c>
      <c r="C17" s="1">
        <v>18</v>
      </c>
      <c r="D17" s="1">
        <v>96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E508-1AEA-43C5-9B90-7B12CF98574E}">
  <dimension ref="A1:AC97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6.5" x14ac:dyDescent="0.25"/>
  <cols>
    <col min="1" max="1" width="12.125" bestFit="1" customWidth="1"/>
    <col min="2" max="2" width="14.875" bestFit="1" customWidth="1"/>
    <col min="3" max="3" width="10" bestFit="1" customWidth="1"/>
    <col min="4" max="4" width="6.25" bestFit="1" customWidth="1"/>
    <col min="5" max="5" width="7.125" bestFit="1" customWidth="1"/>
    <col min="6" max="6" width="10.25" bestFit="1" customWidth="1"/>
    <col min="7" max="7" width="14.375" customWidth="1"/>
    <col min="8" max="8" width="13.5" bestFit="1" customWidth="1"/>
    <col min="9" max="9" width="10.625" bestFit="1" customWidth="1"/>
    <col min="10" max="10" width="14.5" bestFit="1" customWidth="1"/>
    <col min="11" max="11" width="12.625" bestFit="1" customWidth="1"/>
    <col min="12" max="12" width="8.5" bestFit="1" customWidth="1"/>
    <col min="13" max="13" width="5.75" bestFit="1" customWidth="1"/>
    <col min="14" max="14" width="9.875" customWidth="1"/>
    <col min="15" max="15" width="7.625" bestFit="1" customWidth="1"/>
    <col min="16" max="16" width="10.875" bestFit="1" customWidth="1"/>
    <col min="17" max="17" width="9.875" bestFit="1" customWidth="1"/>
    <col min="18" max="18" width="15.25" bestFit="1" customWidth="1"/>
    <col min="19" max="19" width="7.625" bestFit="1" customWidth="1"/>
    <col min="20" max="20" width="10.875" bestFit="1" customWidth="1"/>
    <col min="21" max="21" width="7.75" bestFit="1" customWidth="1"/>
    <col min="22" max="22" width="10.875" bestFit="1" customWidth="1"/>
    <col min="23" max="23" width="11.5" bestFit="1" customWidth="1"/>
    <col min="24" max="24" width="11.25" bestFit="1" customWidth="1"/>
    <col min="25" max="25" width="14.75" bestFit="1" customWidth="1"/>
    <col min="27" max="27" width="22.75" bestFit="1" customWidth="1"/>
    <col min="28" max="28" width="12.75" customWidth="1"/>
    <col min="29" max="29" width="21.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79</v>
      </c>
      <c r="H1" t="s">
        <v>7</v>
      </c>
      <c r="I1" t="s">
        <v>80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49</v>
      </c>
      <c r="Z1" t="s">
        <v>53</v>
      </c>
      <c r="AA1" t="s">
        <v>65</v>
      </c>
      <c r="AB1" t="s">
        <v>68</v>
      </c>
      <c r="AC1" t="s">
        <v>70</v>
      </c>
    </row>
    <row r="2" spans="1:29" x14ac:dyDescent="0.25">
      <c r="A2" t="s">
        <v>24</v>
      </c>
      <c r="B2" t="s">
        <v>25</v>
      </c>
      <c r="C2" t="s">
        <v>26</v>
      </c>
      <c r="D2">
        <v>12000</v>
      </c>
      <c r="E2">
        <v>1</v>
      </c>
      <c r="F2">
        <v>1</v>
      </c>
      <c r="G2" t="b">
        <v>1</v>
      </c>
      <c r="H2" t="b">
        <v>1</v>
      </c>
      <c r="I2" t="b">
        <v>0</v>
      </c>
      <c r="J2" t="b">
        <v>0</v>
      </c>
      <c r="K2" t="s">
        <v>64</v>
      </c>
      <c r="L2">
        <v>8.5</v>
      </c>
      <c r="M2">
        <v>5</v>
      </c>
      <c r="N2">
        <v>12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0</v>
      </c>
      <c r="W2" t="b">
        <v>1</v>
      </c>
      <c r="X2" t="b">
        <v>1</v>
      </c>
      <c r="Y2" t="b">
        <f>IF((COUNTIF($O2:$R2,"FALSE")+COUNTIF($T2,"FALSE"))=0,TRUE,FALSE)</f>
        <v>1</v>
      </c>
      <c r="Z2" t="str">
        <f>IF($M2&lt;4,"1-3層",IF($M2&lt;9,"4-8層","9層以上"))</f>
        <v>4-8層</v>
      </c>
      <c r="AA2" t="b">
        <f>IF(COUNTIF($V2:$X2,FALSE)=0,TRUE,FALSE)</f>
        <v>0</v>
      </c>
      <c r="AB2" t="b">
        <f>IF($D2&gt;=VLOOKUP($B2,各行政區平均值!$A:$B,2,0)*1.5,TRUE,FALSE)</f>
        <v>0</v>
      </c>
      <c r="AC2" t="b">
        <f>IF($AB2=TRUE,IF($AA2=TRUE,TRUE,FALSE),FALSE)</f>
        <v>0</v>
      </c>
    </row>
    <row r="3" spans="1:29" x14ac:dyDescent="0.25">
      <c r="A3" t="s">
        <v>24</v>
      </c>
      <c r="B3" t="s">
        <v>28</v>
      </c>
      <c r="C3" t="s">
        <v>29</v>
      </c>
      <c r="D3">
        <v>35000</v>
      </c>
      <c r="E3">
        <v>3</v>
      </c>
      <c r="F3">
        <v>2</v>
      </c>
      <c r="G3" t="b">
        <v>1</v>
      </c>
      <c r="H3" t="b">
        <v>0</v>
      </c>
      <c r="I3" t="b">
        <v>1</v>
      </c>
      <c r="J3" t="b">
        <v>0</v>
      </c>
      <c r="K3" t="s">
        <v>30</v>
      </c>
      <c r="L3">
        <v>28</v>
      </c>
      <c r="M3">
        <v>3</v>
      </c>
      <c r="N3">
        <v>5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0</v>
      </c>
      <c r="V3" t="b">
        <v>0</v>
      </c>
      <c r="W3" t="b">
        <v>0</v>
      </c>
      <c r="X3" t="b">
        <v>1</v>
      </c>
      <c r="Y3" t="b">
        <f t="shared" ref="Y3:Y66" si="0">IF((COUNTIF($O3:$R3,"FALSE")+COUNTIF($T3,"FALSE"))=0,TRUE,FALSE)</f>
        <v>1</v>
      </c>
      <c r="Z3" t="str">
        <f t="shared" ref="Z3:Z66" si="1">IF($M3&lt;4,"1-3層",IF($M3&lt;9,"4-8層","9層以上"))</f>
        <v>1-3層</v>
      </c>
      <c r="AA3" t="b">
        <f t="shared" ref="AA3:AA66" si="2">IF(COUNTIF($V3:$X3,FALSE)=0,TRUE,FALSE)</f>
        <v>0</v>
      </c>
      <c r="AB3" t="b">
        <f>IF($D3&gt;=VLOOKUP($B3,各行政區平均值!$A:$B,2,0)*1.5,TRUE,FALSE)</f>
        <v>0</v>
      </c>
      <c r="AC3" t="b">
        <f t="shared" ref="AC3:AC66" si="3">IF($AB3=TRUE,IF($AA3=TRUE,TRUE,FALSE),FALSE)</f>
        <v>0</v>
      </c>
    </row>
    <row r="4" spans="1:29" x14ac:dyDescent="0.25">
      <c r="A4" t="s">
        <v>24</v>
      </c>
      <c r="B4" t="s">
        <v>31</v>
      </c>
      <c r="C4" t="s">
        <v>32</v>
      </c>
      <c r="D4">
        <v>8000</v>
      </c>
      <c r="E4">
        <v>1</v>
      </c>
      <c r="F4">
        <v>1</v>
      </c>
      <c r="G4" t="b">
        <v>1</v>
      </c>
      <c r="H4" t="b">
        <v>0</v>
      </c>
      <c r="I4" t="b">
        <v>0</v>
      </c>
      <c r="J4" t="b">
        <v>1</v>
      </c>
      <c r="K4" t="s">
        <v>27</v>
      </c>
      <c r="L4">
        <v>6</v>
      </c>
      <c r="M4">
        <v>7</v>
      </c>
      <c r="N4">
        <v>10</v>
      </c>
      <c r="O4" t="b">
        <v>1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1</v>
      </c>
      <c r="X4" t="b">
        <v>0</v>
      </c>
      <c r="Y4" t="b">
        <f t="shared" si="0"/>
        <v>0</v>
      </c>
      <c r="Z4" t="str">
        <f t="shared" si="1"/>
        <v>4-8層</v>
      </c>
      <c r="AA4" t="b">
        <f t="shared" si="2"/>
        <v>0</v>
      </c>
      <c r="AB4" t="b">
        <f>IF($D4&gt;=VLOOKUP($B4,各行政區平均值!$A:$B,2,0)*1.5,TRUE,FALSE)</f>
        <v>0</v>
      </c>
      <c r="AC4" t="b">
        <f t="shared" si="3"/>
        <v>0</v>
      </c>
    </row>
    <row r="5" spans="1:29" x14ac:dyDescent="0.25">
      <c r="A5" t="s">
        <v>24</v>
      </c>
      <c r="B5" t="s">
        <v>33</v>
      </c>
      <c r="C5" t="s">
        <v>34</v>
      </c>
      <c r="D5">
        <v>5500</v>
      </c>
      <c r="E5">
        <v>1</v>
      </c>
      <c r="F5">
        <v>0</v>
      </c>
      <c r="G5" t="b">
        <v>0</v>
      </c>
      <c r="H5" t="b">
        <v>1</v>
      </c>
      <c r="I5" t="b">
        <v>0</v>
      </c>
      <c r="J5" t="b">
        <v>0</v>
      </c>
      <c r="K5" t="s">
        <v>30</v>
      </c>
      <c r="L5">
        <v>4.5</v>
      </c>
      <c r="M5">
        <v>2</v>
      </c>
      <c r="N5">
        <v>4</v>
      </c>
      <c r="O5" t="b">
        <v>1</v>
      </c>
      <c r="P5" t="b">
        <v>0</v>
      </c>
      <c r="Q5" t="b">
        <v>0</v>
      </c>
      <c r="R5" t="b">
        <v>1</v>
      </c>
      <c r="S5" t="b">
        <v>1</v>
      </c>
      <c r="T5" t="b">
        <v>1</v>
      </c>
      <c r="U5" t="b">
        <v>1</v>
      </c>
      <c r="V5" t="b">
        <v>0</v>
      </c>
      <c r="W5" t="b">
        <v>0</v>
      </c>
      <c r="X5" t="b">
        <v>0</v>
      </c>
      <c r="Y5" t="b">
        <f t="shared" si="0"/>
        <v>0</v>
      </c>
      <c r="Z5" t="str">
        <f t="shared" si="1"/>
        <v>1-3層</v>
      </c>
      <c r="AA5" t="b">
        <f t="shared" si="2"/>
        <v>0</v>
      </c>
      <c r="AB5" t="b">
        <f>IF($D5&gt;=VLOOKUP($B5,各行政區平均值!$A:$B,2,0)*1.5,TRUE,FALSE)</f>
        <v>0</v>
      </c>
      <c r="AC5" t="b">
        <f t="shared" si="3"/>
        <v>0</v>
      </c>
    </row>
    <row r="6" spans="1:29" x14ac:dyDescent="0.25">
      <c r="A6" t="s">
        <v>24</v>
      </c>
      <c r="B6" t="s">
        <v>35</v>
      </c>
      <c r="C6" t="s">
        <v>29</v>
      </c>
      <c r="D6">
        <v>28000</v>
      </c>
      <c r="E6">
        <v>2</v>
      </c>
      <c r="F6">
        <v>1</v>
      </c>
      <c r="G6" t="b">
        <v>1</v>
      </c>
      <c r="H6" t="b">
        <v>0</v>
      </c>
      <c r="I6" t="b">
        <v>1</v>
      </c>
      <c r="J6" t="b">
        <v>0</v>
      </c>
      <c r="K6" t="s">
        <v>27</v>
      </c>
      <c r="L6">
        <v>18</v>
      </c>
      <c r="M6">
        <v>8</v>
      </c>
      <c r="N6">
        <v>15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0</v>
      </c>
      <c r="V6" t="b">
        <v>1</v>
      </c>
      <c r="W6" t="b">
        <v>1</v>
      </c>
      <c r="X6" t="b">
        <v>1</v>
      </c>
      <c r="Y6" t="b">
        <f t="shared" si="0"/>
        <v>1</v>
      </c>
      <c r="Z6" t="str">
        <f t="shared" si="1"/>
        <v>4-8層</v>
      </c>
      <c r="AA6" t="b">
        <f t="shared" si="2"/>
        <v>1</v>
      </c>
      <c r="AB6" t="b">
        <f>IF($D6&gt;=VLOOKUP($B6,各行政區平均值!$A:$B,2,0)*1.5,TRUE,FALSE)</f>
        <v>1</v>
      </c>
      <c r="AC6" t="b">
        <f t="shared" si="3"/>
        <v>1</v>
      </c>
    </row>
    <row r="7" spans="1:29" x14ac:dyDescent="0.25">
      <c r="A7" t="s">
        <v>24</v>
      </c>
      <c r="B7" t="s">
        <v>36</v>
      </c>
      <c r="C7" t="s">
        <v>26</v>
      </c>
      <c r="D7">
        <v>15000</v>
      </c>
      <c r="E7">
        <v>1</v>
      </c>
      <c r="F7">
        <v>1</v>
      </c>
      <c r="G7" t="b">
        <v>0</v>
      </c>
      <c r="H7" t="b">
        <v>1</v>
      </c>
      <c r="I7" t="b">
        <v>1</v>
      </c>
      <c r="J7" t="b">
        <v>0</v>
      </c>
      <c r="K7" t="s">
        <v>27</v>
      </c>
      <c r="L7">
        <v>10</v>
      </c>
      <c r="M7">
        <v>6</v>
      </c>
      <c r="N7">
        <v>12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f t="shared" si="0"/>
        <v>1</v>
      </c>
      <c r="Z7" t="str">
        <f t="shared" si="1"/>
        <v>4-8層</v>
      </c>
      <c r="AA7" t="b">
        <f t="shared" si="2"/>
        <v>1</v>
      </c>
      <c r="AB7" t="b">
        <f>IF($D7&gt;=VLOOKUP($B7,各行政區平均值!$A:$B,2,0)*1.5,TRUE,FALSE)</f>
        <v>0</v>
      </c>
      <c r="AC7" t="b">
        <f t="shared" si="3"/>
        <v>0</v>
      </c>
    </row>
    <row r="8" spans="1:29" x14ac:dyDescent="0.25">
      <c r="A8" t="s">
        <v>24</v>
      </c>
      <c r="B8" t="s">
        <v>60</v>
      </c>
      <c r="C8" t="s">
        <v>29</v>
      </c>
      <c r="D8">
        <v>32000</v>
      </c>
      <c r="E8">
        <v>4</v>
      </c>
      <c r="F8">
        <v>2</v>
      </c>
      <c r="G8" t="b">
        <v>0</v>
      </c>
      <c r="H8" t="b">
        <v>0</v>
      </c>
      <c r="I8" t="b">
        <v>0</v>
      </c>
      <c r="J8" t="b">
        <v>0</v>
      </c>
      <c r="K8" t="s">
        <v>63</v>
      </c>
      <c r="L8">
        <v>35</v>
      </c>
      <c r="M8">
        <v>1</v>
      </c>
      <c r="N8">
        <v>3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0</v>
      </c>
      <c r="V8" t="b">
        <v>1</v>
      </c>
      <c r="W8" t="b">
        <v>0</v>
      </c>
      <c r="X8" t="b">
        <v>1</v>
      </c>
      <c r="Y8" t="b">
        <f t="shared" si="0"/>
        <v>1</v>
      </c>
      <c r="Z8" t="str">
        <f t="shared" si="1"/>
        <v>1-3層</v>
      </c>
      <c r="AA8" t="b">
        <f t="shared" si="2"/>
        <v>0</v>
      </c>
      <c r="AB8" t="b">
        <f>IF($D8&gt;=VLOOKUP($B8,各行政區平均值!$A:$B,2,0)*1.5,TRUE,FALSE)</f>
        <v>1</v>
      </c>
      <c r="AC8" t="b">
        <f t="shared" si="3"/>
        <v>0</v>
      </c>
    </row>
    <row r="9" spans="1:29" x14ac:dyDescent="0.25">
      <c r="A9" t="s">
        <v>24</v>
      </c>
      <c r="B9" t="s">
        <v>39</v>
      </c>
      <c r="C9" t="s">
        <v>32</v>
      </c>
      <c r="D9">
        <v>7500</v>
      </c>
      <c r="E9">
        <v>1</v>
      </c>
      <c r="F9">
        <v>1</v>
      </c>
      <c r="G9" t="b">
        <v>0</v>
      </c>
      <c r="H9" t="b">
        <v>1</v>
      </c>
      <c r="I9" t="b">
        <v>0</v>
      </c>
      <c r="J9" t="b">
        <v>0</v>
      </c>
      <c r="K9" t="s">
        <v>30</v>
      </c>
      <c r="L9">
        <v>5.5</v>
      </c>
      <c r="M9">
        <v>4</v>
      </c>
      <c r="N9">
        <v>5</v>
      </c>
      <c r="O9" t="b">
        <v>1</v>
      </c>
      <c r="P9" t="b">
        <v>0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0</v>
      </c>
      <c r="W9" t="b">
        <v>0</v>
      </c>
      <c r="X9" t="b">
        <v>0</v>
      </c>
      <c r="Y9" t="b">
        <f t="shared" si="0"/>
        <v>0</v>
      </c>
      <c r="Z9" t="str">
        <f t="shared" si="1"/>
        <v>4-8層</v>
      </c>
      <c r="AA9" t="b">
        <f t="shared" si="2"/>
        <v>0</v>
      </c>
      <c r="AB9" t="b">
        <f>IF($D9&gt;=VLOOKUP($B9,各行政區平均值!$A:$B,2,0)*1.5,TRUE,FALSE)</f>
        <v>0</v>
      </c>
      <c r="AC9" t="b">
        <f t="shared" si="3"/>
        <v>0</v>
      </c>
    </row>
    <row r="10" spans="1:29" x14ac:dyDescent="0.25">
      <c r="A10" t="s">
        <v>24</v>
      </c>
      <c r="B10" t="s">
        <v>40</v>
      </c>
      <c r="C10" t="s">
        <v>34</v>
      </c>
      <c r="D10">
        <v>5000</v>
      </c>
      <c r="E10">
        <v>1</v>
      </c>
      <c r="F10">
        <v>0</v>
      </c>
      <c r="G10" t="b">
        <v>1</v>
      </c>
      <c r="H10" t="b">
        <v>0</v>
      </c>
      <c r="I10" t="b">
        <v>1</v>
      </c>
      <c r="J10" t="b">
        <v>1</v>
      </c>
      <c r="K10" t="s">
        <v>30</v>
      </c>
      <c r="L10">
        <v>4</v>
      </c>
      <c r="M10">
        <v>3</v>
      </c>
      <c r="N10">
        <v>4</v>
      </c>
      <c r="O10" t="b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f t="shared" si="0"/>
        <v>0</v>
      </c>
      <c r="Z10" t="str">
        <f t="shared" si="1"/>
        <v>1-3層</v>
      </c>
      <c r="AA10" t="b">
        <f t="shared" si="2"/>
        <v>0</v>
      </c>
      <c r="AB10" t="b">
        <f>IF($D10&gt;=VLOOKUP($B10,各行政區平均值!$A:$B,2,0)*1.5,TRUE,FALSE)</f>
        <v>0</v>
      </c>
      <c r="AC10" t="b">
        <f t="shared" si="3"/>
        <v>0</v>
      </c>
    </row>
    <row r="11" spans="1:29" x14ac:dyDescent="0.25">
      <c r="A11" t="s">
        <v>24</v>
      </c>
      <c r="B11" t="s">
        <v>41</v>
      </c>
      <c r="C11" t="s">
        <v>26</v>
      </c>
      <c r="D11">
        <v>9000</v>
      </c>
      <c r="E11">
        <v>1</v>
      </c>
      <c r="F11">
        <v>1</v>
      </c>
      <c r="G11" t="b">
        <v>1</v>
      </c>
      <c r="H11" t="b">
        <v>1</v>
      </c>
      <c r="I11" t="b">
        <v>0</v>
      </c>
      <c r="J11" t="b">
        <v>0</v>
      </c>
      <c r="K11" t="s">
        <v>30</v>
      </c>
      <c r="L11">
        <v>7</v>
      </c>
      <c r="M11">
        <v>2</v>
      </c>
      <c r="N11">
        <v>5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0</v>
      </c>
      <c r="W11" t="b">
        <v>0</v>
      </c>
      <c r="X11" t="b">
        <v>0</v>
      </c>
      <c r="Y11" t="b">
        <f t="shared" si="0"/>
        <v>1</v>
      </c>
      <c r="Z11" t="str">
        <f t="shared" si="1"/>
        <v>1-3層</v>
      </c>
      <c r="AA11" t="b">
        <f t="shared" si="2"/>
        <v>0</v>
      </c>
      <c r="AB11" t="b">
        <f>IF($D11&gt;=VLOOKUP($B11,各行政區平均值!$A:$B,2,0)*1.5,TRUE,FALSE)</f>
        <v>0</v>
      </c>
      <c r="AC11" t="b">
        <f t="shared" si="3"/>
        <v>0</v>
      </c>
    </row>
    <row r="12" spans="1:29" x14ac:dyDescent="0.25">
      <c r="A12" t="s">
        <v>24</v>
      </c>
      <c r="B12" t="s">
        <v>42</v>
      </c>
      <c r="C12" t="s">
        <v>29</v>
      </c>
      <c r="D12">
        <v>25000</v>
      </c>
      <c r="E12">
        <v>2</v>
      </c>
      <c r="F12">
        <v>1</v>
      </c>
      <c r="G12" t="b">
        <v>1</v>
      </c>
      <c r="H12" t="b">
        <v>0</v>
      </c>
      <c r="I12" t="b">
        <v>1</v>
      </c>
      <c r="J12" t="b">
        <v>0</v>
      </c>
      <c r="K12" t="s">
        <v>30</v>
      </c>
      <c r="L12">
        <v>20</v>
      </c>
      <c r="M12">
        <v>3</v>
      </c>
      <c r="N12">
        <v>5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0</v>
      </c>
      <c r="V12" t="b">
        <v>0</v>
      </c>
      <c r="W12" t="b">
        <v>0</v>
      </c>
      <c r="X12" t="b">
        <v>1</v>
      </c>
      <c r="Y12" t="b">
        <f t="shared" si="0"/>
        <v>1</v>
      </c>
      <c r="Z12" t="str">
        <f t="shared" si="1"/>
        <v>1-3層</v>
      </c>
      <c r="AA12" t="b">
        <f t="shared" si="2"/>
        <v>0</v>
      </c>
      <c r="AB12" t="b">
        <f>IF($D12&gt;=VLOOKUP($B12,各行政區平均值!$A:$B,2,0)*1.5,TRUE,FALSE)</f>
        <v>1</v>
      </c>
      <c r="AC12" t="b">
        <f t="shared" si="3"/>
        <v>0</v>
      </c>
    </row>
    <row r="13" spans="1:29" x14ac:dyDescent="0.25">
      <c r="A13" t="s">
        <v>24</v>
      </c>
      <c r="B13" t="s">
        <v>43</v>
      </c>
      <c r="C13" t="s">
        <v>26</v>
      </c>
      <c r="D13">
        <v>13000</v>
      </c>
      <c r="E13">
        <v>1</v>
      </c>
      <c r="F13">
        <v>1</v>
      </c>
      <c r="G13" t="b">
        <v>1</v>
      </c>
      <c r="H13" t="b">
        <v>1</v>
      </c>
      <c r="I13" t="b">
        <v>0</v>
      </c>
      <c r="J13" t="b">
        <v>0</v>
      </c>
      <c r="K13" t="s">
        <v>27</v>
      </c>
      <c r="L13">
        <v>9</v>
      </c>
      <c r="M13">
        <v>10</v>
      </c>
      <c r="N13">
        <v>15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  <c r="W13" t="b">
        <v>1</v>
      </c>
      <c r="X13" t="b">
        <v>1</v>
      </c>
      <c r="Y13" t="b">
        <f t="shared" si="0"/>
        <v>1</v>
      </c>
      <c r="Z13" t="str">
        <f t="shared" si="1"/>
        <v>9層以上</v>
      </c>
      <c r="AA13" t="b">
        <f t="shared" si="2"/>
        <v>0</v>
      </c>
      <c r="AB13" t="b">
        <f>IF($D13&gt;=VLOOKUP($B13,各行政區平均值!$A:$B,2,0)*1.5,TRUE,FALSE)</f>
        <v>0</v>
      </c>
      <c r="AC13" t="b">
        <f t="shared" si="3"/>
        <v>0</v>
      </c>
    </row>
    <row r="14" spans="1:29" x14ac:dyDescent="0.25">
      <c r="A14" t="s">
        <v>24</v>
      </c>
      <c r="B14" t="s">
        <v>25</v>
      </c>
      <c r="C14" t="s">
        <v>29</v>
      </c>
      <c r="D14">
        <v>42000</v>
      </c>
      <c r="E14">
        <v>3</v>
      </c>
      <c r="F14">
        <v>2</v>
      </c>
      <c r="G14" t="b">
        <v>1</v>
      </c>
      <c r="H14" t="b">
        <v>0</v>
      </c>
      <c r="I14" t="b">
        <v>0</v>
      </c>
      <c r="J14" t="b">
        <v>0</v>
      </c>
      <c r="K14" t="s">
        <v>27</v>
      </c>
      <c r="L14">
        <v>32</v>
      </c>
      <c r="M14">
        <v>7</v>
      </c>
      <c r="N14">
        <v>12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0</v>
      </c>
      <c r="V14" t="b">
        <v>0</v>
      </c>
      <c r="W14" t="b">
        <v>1</v>
      </c>
      <c r="X14" t="b">
        <v>1</v>
      </c>
      <c r="Y14" t="b">
        <f t="shared" si="0"/>
        <v>1</v>
      </c>
      <c r="Z14" t="str">
        <f t="shared" si="1"/>
        <v>4-8層</v>
      </c>
      <c r="AA14" t="b">
        <f t="shared" si="2"/>
        <v>0</v>
      </c>
      <c r="AB14" t="b">
        <f>IF($D14&gt;=VLOOKUP($B14,各行政區平均值!$A:$B,2,0)*1.5,TRUE,FALSE)</f>
        <v>1</v>
      </c>
      <c r="AC14" t="b">
        <f t="shared" si="3"/>
        <v>0</v>
      </c>
    </row>
    <row r="15" spans="1:29" x14ac:dyDescent="0.25">
      <c r="A15" t="s">
        <v>24</v>
      </c>
      <c r="B15" t="s">
        <v>28</v>
      </c>
      <c r="C15" t="s">
        <v>32</v>
      </c>
      <c r="D15">
        <v>11000</v>
      </c>
      <c r="E15">
        <v>1</v>
      </c>
      <c r="F15">
        <v>1</v>
      </c>
      <c r="G15" t="b">
        <v>1</v>
      </c>
      <c r="H15" t="b">
        <v>1</v>
      </c>
      <c r="I15" t="b">
        <v>0</v>
      </c>
      <c r="J15" t="b">
        <v>1</v>
      </c>
      <c r="K15" t="s">
        <v>27</v>
      </c>
      <c r="L15">
        <v>7.5</v>
      </c>
      <c r="M15">
        <v>5</v>
      </c>
      <c r="N15">
        <v>8</v>
      </c>
      <c r="O15" t="b">
        <v>1</v>
      </c>
      <c r="P15" t="b">
        <v>0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0</v>
      </c>
      <c r="W15" t="b">
        <v>1</v>
      </c>
      <c r="X15" t="b">
        <v>0</v>
      </c>
      <c r="Y15" t="b">
        <f t="shared" si="0"/>
        <v>0</v>
      </c>
      <c r="Z15" t="str">
        <f t="shared" si="1"/>
        <v>4-8層</v>
      </c>
      <c r="AA15" t="b">
        <f t="shared" si="2"/>
        <v>0</v>
      </c>
      <c r="AB15" t="b">
        <f>IF($D15&gt;=VLOOKUP($B15,各行政區平均值!$A:$B,2,0)*1.5,TRUE,FALSE)</f>
        <v>0</v>
      </c>
      <c r="AC15" t="b">
        <f t="shared" si="3"/>
        <v>0</v>
      </c>
    </row>
    <row r="16" spans="1:29" x14ac:dyDescent="0.25">
      <c r="A16" t="s">
        <v>24</v>
      </c>
      <c r="B16" t="s">
        <v>31</v>
      </c>
      <c r="C16" t="s">
        <v>34</v>
      </c>
      <c r="D16">
        <v>6000</v>
      </c>
      <c r="E16">
        <v>1</v>
      </c>
      <c r="F16">
        <v>0</v>
      </c>
      <c r="G16" t="b">
        <v>1</v>
      </c>
      <c r="H16" t="b">
        <v>0</v>
      </c>
      <c r="I16" t="b">
        <v>0</v>
      </c>
      <c r="J16" t="b">
        <v>0</v>
      </c>
      <c r="K16" t="s">
        <v>30</v>
      </c>
      <c r="L16">
        <v>5</v>
      </c>
      <c r="M16">
        <v>1</v>
      </c>
      <c r="N16">
        <v>4</v>
      </c>
      <c r="O16" t="b">
        <v>1</v>
      </c>
      <c r="P16" t="b">
        <v>0</v>
      </c>
      <c r="Q16" t="b">
        <v>0</v>
      </c>
      <c r="R16" t="b">
        <v>1</v>
      </c>
      <c r="S16" t="b">
        <v>1</v>
      </c>
      <c r="T16" t="b">
        <v>1</v>
      </c>
      <c r="U16" t="b">
        <v>1</v>
      </c>
      <c r="V16" t="b">
        <v>0</v>
      </c>
      <c r="W16" t="b">
        <v>0</v>
      </c>
      <c r="X16" t="b">
        <v>0</v>
      </c>
      <c r="Y16" t="b">
        <f t="shared" si="0"/>
        <v>0</v>
      </c>
      <c r="Z16" t="str">
        <f t="shared" si="1"/>
        <v>1-3層</v>
      </c>
      <c r="AA16" t="b">
        <f t="shared" si="2"/>
        <v>0</v>
      </c>
      <c r="AB16" t="b">
        <f>IF($D16&gt;=VLOOKUP($B16,各行政區平均值!$A:$B,2,0)*1.5,TRUE,FALSE)</f>
        <v>0</v>
      </c>
      <c r="AC16" t="b">
        <f t="shared" si="3"/>
        <v>0</v>
      </c>
    </row>
    <row r="17" spans="1:29" x14ac:dyDescent="0.25">
      <c r="A17" t="s">
        <v>24</v>
      </c>
      <c r="B17" t="s">
        <v>33</v>
      </c>
      <c r="C17" t="s">
        <v>26</v>
      </c>
      <c r="D17">
        <v>14000</v>
      </c>
      <c r="E17">
        <v>1</v>
      </c>
      <c r="F17">
        <v>1</v>
      </c>
      <c r="G17" t="b">
        <v>1</v>
      </c>
      <c r="H17" t="b">
        <v>1</v>
      </c>
      <c r="I17" t="b">
        <v>1</v>
      </c>
      <c r="J17" t="b">
        <v>0</v>
      </c>
      <c r="K17" t="s">
        <v>27</v>
      </c>
      <c r="L17">
        <v>8</v>
      </c>
      <c r="M17">
        <v>9</v>
      </c>
      <c r="N17">
        <v>14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0</v>
      </c>
      <c r="W17" t="b">
        <v>1</v>
      </c>
      <c r="X17" t="b">
        <v>1</v>
      </c>
      <c r="Y17" t="b">
        <f t="shared" si="0"/>
        <v>1</v>
      </c>
      <c r="Z17" t="str">
        <f t="shared" si="1"/>
        <v>9層以上</v>
      </c>
      <c r="AA17" t="b">
        <f t="shared" si="2"/>
        <v>0</v>
      </c>
      <c r="AB17" t="b">
        <f>IF($D17&gt;=VLOOKUP($B17,各行政區平均值!$A:$B,2,0)*1.5,TRUE,FALSE)</f>
        <v>0</v>
      </c>
      <c r="AC17" t="b">
        <f t="shared" si="3"/>
        <v>0</v>
      </c>
    </row>
    <row r="18" spans="1:29" x14ac:dyDescent="0.25">
      <c r="A18" t="s">
        <v>24</v>
      </c>
      <c r="B18" t="s">
        <v>35</v>
      </c>
      <c r="C18" t="s">
        <v>29</v>
      </c>
      <c r="D18">
        <v>38000</v>
      </c>
      <c r="E18">
        <v>3</v>
      </c>
      <c r="F18">
        <v>2</v>
      </c>
      <c r="G18" t="b">
        <v>1</v>
      </c>
      <c r="H18" t="b">
        <v>0</v>
      </c>
      <c r="I18" t="b">
        <v>1</v>
      </c>
      <c r="J18" t="b">
        <v>0</v>
      </c>
      <c r="K18" t="s">
        <v>27</v>
      </c>
      <c r="L18">
        <v>30</v>
      </c>
      <c r="M18">
        <v>12</v>
      </c>
      <c r="N18">
        <v>20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0</v>
      </c>
      <c r="V18" t="b">
        <v>1</v>
      </c>
      <c r="W18" t="b">
        <v>1</v>
      </c>
      <c r="X18" t="b">
        <v>1</v>
      </c>
      <c r="Y18" t="b">
        <f t="shared" si="0"/>
        <v>1</v>
      </c>
      <c r="Z18" t="str">
        <f t="shared" si="1"/>
        <v>9層以上</v>
      </c>
      <c r="AA18" t="b">
        <f t="shared" si="2"/>
        <v>1</v>
      </c>
      <c r="AB18" t="b">
        <f>IF($D18&gt;=VLOOKUP($B18,各行政區平均值!$A:$B,2,0)*1.5,TRUE,FALSE)</f>
        <v>1</v>
      </c>
      <c r="AC18" t="b">
        <f t="shared" si="3"/>
        <v>1</v>
      </c>
    </row>
    <row r="19" spans="1:29" x14ac:dyDescent="0.25">
      <c r="A19" t="s">
        <v>24</v>
      </c>
      <c r="B19" t="s">
        <v>36</v>
      </c>
      <c r="C19" t="s">
        <v>32</v>
      </c>
      <c r="D19">
        <v>8500</v>
      </c>
      <c r="E19">
        <v>1</v>
      </c>
      <c r="F19">
        <v>1</v>
      </c>
      <c r="G19" t="b">
        <v>0</v>
      </c>
      <c r="H19" t="b">
        <v>0</v>
      </c>
      <c r="I19" t="b">
        <v>0</v>
      </c>
      <c r="J19" t="b">
        <v>0</v>
      </c>
      <c r="K19" t="s">
        <v>30</v>
      </c>
      <c r="L19">
        <v>6.5</v>
      </c>
      <c r="M19">
        <v>3</v>
      </c>
      <c r="N19">
        <v>6</v>
      </c>
      <c r="O19" t="b">
        <v>1</v>
      </c>
      <c r="P19" t="b">
        <v>0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0</v>
      </c>
      <c r="W19" t="b">
        <v>0</v>
      </c>
      <c r="X19" t="b">
        <v>0</v>
      </c>
      <c r="Y19" t="b">
        <f t="shared" si="0"/>
        <v>0</v>
      </c>
      <c r="Z19" t="str">
        <f t="shared" si="1"/>
        <v>1-3層</v>
      </c>
      <c r="AA19" t="b">
        <f t="shared" si="2"/>
        <v>0</v>
      </c>
      <c r="AB19" t="b">
        <f>IF($D19&gt;=VLOOKUP($B19,各行政區平均值!$A:$B,2,0)*1.5,TRUE,FALSE)</f>
        <v>0</v>
      </c>
      <c r="AC19" t="b">
        <f t="shared" si="3"/>
        <v>0</v>
      </c>
    </row>
    <row r="20" spans="1:29" x14ac:dyDescent="0.25">
      <c r="A20" t="s">
        <v>24</v>
      </c>
      <c r="B20" t="s">
        <v>37</v>
      </c>
      <c r="C20" t="s">
        <v>34</v>
      </c>
      <c r="D20">
        <v>5200</v>
      </c>
      <c r="E20">
        <v>1</v>
      </c>
      <c r="F20">
        <v>0</v>
      </c>
      <c r="G20" t="b">
        <v>0</v>
      </c>
      <c r="H20" t="b">
        <v>1</v>
      </c>
      <c r="I20" t="b">
        <v>0</v>
      </c>
      <c r="J20" t="b">
        <v>1</v>
      </c>
      <c r="K20" t="s">
        <v>30</v>
      </c>
      <c r="L20">
        <v>4.2</v>
      </c>
      <c r="M20">
        <v>2</v>
      </c>
      <c r="N20">
        <v>4</v>
      </c>
      <c r="O20" t="b">
        <v>1</v>
      </c>
      <c r="P20" t="b">
        <v>0</v>
      </c>
      <c r="Q20" t="b">
        <v>0</v>
      </c>
      <c r="R20" t="b">
        <v>1</v>
      </c>
      <c r="S20" t="b">
        <v>1</v>
      </c>
      <c r="T20" t="b">
        <v>1</v>
      </c>
      <c r="U20" t="b">
        <v>1</v>
      </c>
      <c r="V20" t="b">
        <v>0</v>
      </c>
      <c r="W20" t="b">
        <v>0</v>
      </c>
      <c r="X20" t="b">
        <v>0</v>
      </c>
      <c r="Y20" t="b">
        <f t="shared" si="0"/>
        <v>0</v>
      </c>
      <c r="Z20" t="str">
        <f t="shared" si="1"/>
        <v>1-3層</v>
      </c>
      <c r="AA20" t="b">
        <f t="shared" si="2"/>
        <v>0</v>
      </c>
      <c r="AB20" t="b">
        <f>IF($D20&gt;=VLOOKUP($B20,各行政區平均值!$A:$B,2,0)*1.5,TRUE,FALSE)</f>
        <v>0</v>
      </c>
      <c r="AC20" t="b">
        <f t="shared" si="3"/>
        <v>0</v>
      </c>
    </row>
    <row r="21" spans="1:29" x14ac:dyDescent="0.25">
      <c r="A21" t="s">
        <v>24</v>
      </c>
      <c r="B21" t="s">
        <v>39</v>
      </c>
      <c r="C21" t="s">
        <v>26</v>
      </c>
      <c r="D21">
        <v>9500</v>
      </c>
      <c r="E21">
        <v>1</v>
      </c>
      <c r="F21">
        <v>1</v>
      </c>
      <c r="G21" t="b">
        <v>0</v>
      </c>
      <c r="H21" t="b">
        <v>0</v>
      </c>
      <c r="I21" t="b">
        <v>1</v>
      </c>
      <c r="J21" t="b">
        <v>0</v>
      </c>
      <c r="K21" t="s">
        <v>30</v>
      </c>
      <c r="L21">
        <v>7.8</v>
      </c>
      <c r="M21">
        <v>4</v>
      </c>
      <c r="N21">
        <v>5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0</v>
      </c>
      <c r="W21" t="b">
        <v>0</v>
      </c>
      <c r="X21" t="b">
        <v>1</v>
      </c>
      <c r="Y21" t="b">
        <f t="shared" si="0"/>
        <v>1</v>
      </c>
      <c r="Z21" t="str">
        <f t="shared" si="1"/>
        <v>4-8層</v>
      </c>
      <c r="AA21" t="b">
        <f t="shared" si="2"/>
        <v>0</v>
      </c>
      <c r="AB21" t="b">
        <f>IF($D21&gt;=VLOOKUP($B21,各行政區平均值!$A:$B,2,0)*1.5,TRUE,FALSE)</f>
        <v>0</v>
      </c>
      <c r="AC21" t="b">
        <f t="shared" si="3"/>
        <v>0</v>
      </c>
    </row>
    <row r="22" spans="1:29" x14ac:dyDescent="0.25">
      <c r="A22" t="s">
        <v>24</v>
      </c>
      <c r="B22" t="s">
        <v>40</v>
      </c>
      <c r="C22" t="s">
        <v>29</v>
      </c>
      <c r="D22">
        <v>22000</v>
      </c>
      <c r="E22">
        <v>2</v>
      </c>
      <c r="F22">
        <v>1</v>
      </c>
      <c r="G22" t="b">
        <v>1</v>
      </c>
      <c r="H22" t="b">
        <v>1</v>
      </c>
      <c r="I22" t="b">
        <v>0</v>
      </c>
      <c r="J22" t="b">
        <v>0</v>
      </c>
      <c r="K22" t="s">
        <v>30</v>
      </c>
      <c r="L22">
        <v>22</v>
      </c>
      <c r="M22">
        <v>2</v>
      </c>
      <c r="N22">
        <v>4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0</v>
      </c>
      <c r="V22" t="b">
        <v>0</v>
      </c>
      <c r="W22" t="b">
        <v>0</v>
      </c>
      <c r="X22" t="b">
        <v>1</v>
      </c>
      <c r="Y22" t="b">
        <f t="shared" si="0"/>
        <v>1</v>
      </c>
      <c r="Z22" t="str">
        <f t="shared" si="1"/>
        <v>1-3層</v>
      </c>
      <c r="AA22" t="b">
        <f t="shared" si="2"/>
        <v>0</v>
      </c>
      <c r="AB22" t="b">
        <f>IF($D22&gt;=VLOOKUP($B22,各行政區平均值!$A:$B,2,0)*1.5,TRUE,FALSE)</f>
        <v>1</v>
      </c>
      <c r="AC22" t="b">
        <f t="shared" si="3"/>
        <v>0</v>
      </c>
    </row>
    <row r="23" spans="1:29" x14ac:dyDescent="0.25">
      <c r="A23" t="s">
        <v>24</v>
      </c>
      <c r="B23" t="s">
        <v>41</v>
      </c>
      <c r="C23" t="s">
        <v>32</v>
      </c>
      <c r="D23">
        <v>7000</v>
      </c>
      <c r="E23">
        <v>1</v>
      </c>
      <c r="F23">
        <v>1</v>
      </c>
      <c r="G23" t="b">
        <v>1</v>
      </c>
      <c r="H23" t="b">
        <v>0</v>
      </c>
      <c r="I23" t="b">
        <v>0</v>
      </c>
      <c r="J23" t="b">
        <v>0</v>
      </c>
      <c r="K23" t="s">
        <v>30</v>
      </c>
      <c r="L23">
        <v>5.8</v>
      </c>
      <c r="M23">
        <v>1</v>
      </c>
      <c r="N23">
        <v>5</v>
      </c>
      <c r="O23" t="b">
        <v>1</v>
      </c>
      <c r="P23" t="b">
        <v>0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0</v>
      </c>
      <c r="W23" t="b">
        <v>0</v>
      </c>
      <c r="X23" t="b">
        <v>0</v>
      </c>
      <c r="Y23" t="b">
        <f t="shared" si="0"/>
        <v>0</v>
      </c>
      <c r="Z23" t="str">
        <f t="shared" si="1"/>
        <v>1-3層</v>
      </c>
      <c r="AA23" t="b">
        <f t="shared" si="2"/>
        <v>0</v>
      </c>
      <c r="AB23" t="b">
        <f>IF($D23&gt;=VLOOKUP($B23,各行政區平均值!$A:$B,2,0)*1.5,TRUE,FALSE)</f>
        <v>0</v>
      </c>
      <c r="AC23" t="b">
        <f t="shared" si="3"/>
        <v>0</v>
      </c>
    </row>
    <row r="24" spans="1:29" x14ac:dyDescent="0.25">
      <c r="A24" t="s">
        <v>24</v>
      </c>
      <c r="B24" t="s">
        <v>42</v>
      </c>
      <c r="C24" t="s">
        <v>34</v>
      </c>
      <c r="D24">
        <v>4800</v>
      </c>
      <c r="E24">
        <v>1</v>
      </c>
      <c r="F24">
        <v>0</v>
      </c>
      <c r="G24" t="b">
        <v>1</v>
      </c>
      <c r="H24" t="b">
        <v>1</v>
      </c>
      <c r="I24" t="b">
        <v>0</v>
      </c>
      <c r="J24" t="b">
        <v>1</v>
      </c>
      <c r="K24" t="s">
        <v>30</v>
      </c>
      <c r="L24">
        <v>3.8</v>
      </c>
      <c r="M24">
        <v>3</v>
      </c>
      <c r="N24">
        <v>5</v>
      </c>
      <c r="O24" t="b">
        <v>0</v>
      </c>
      <c r="P24" t="b">
        <v>0</v>
      </c>
      <c r="Q24" t="b">
        <v>0</v>
      </c>
      <c r="R24" t="b">
        <v>1</v>
      </c>
      <c r="S24" t="b">
        <v>1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f t="shared" si="0"/>
        <v>0</v>
      </c>
      <c r="Z24" t="str">
        <f t="shared" si="1"/>
        <v>1-3層</v>
      </c>
      <c r="AA24" t="b">
        <f t="shared" si="2"/>
        <v>0</v>
      </c>
      <c r="AB24" t="b">
        <f>IF($D24&gt;=VLOOKUP($B24,各行政區平均值!$A:$B,2,0)*1.5,TRUE,FALSE)</f>
        <v>0</v>
      </c>
      <c r="AC24" t="b">
        <f t="shared" si="3"/>
        <v>0</v>
      </c>
    </row>
    <row r="25" spans="1:29" x14ac:dyDescent="0.25">
      <c r="A25" t="s">
        <v>24</v>
      </c>
      <c r="B25" t="s">
        <v>43</v>
      </c>
      <c r="C25" t="s">
        <v>29</v>
      </c>
      <c r="D25">
        <v>30000</v>
      </c>
      <c r="E25">
        <v>2</v>
      </c>
      <c r="F25">
        <v>1</v>
      </c>
      <c r="G25" t="b">
        <v>1</v>
      </c>
      <c r="H25" t="b">
        <v>0</v>
      </c>
      <c r="I25" t="b">
        <v>1</v>
      </c>
      <c r="J25" t="b">
        <v>0</v>
      </c>
      <c r="K25" t="s">
        <v>64</v>
      </c>
      <c r="L25">
        <v>25</v>
      </c>
      <c r="M25">
        <v>8</v>
      </c>
      <c r="N25">
        <v>12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0</v>
      </c>
      <c r="V25" t="b">
        <v>1</v>
      </c>
      <c r="W25" t="b">
        <v>1</v>
      </c>
      <c r="X25" t="b">
        <v>1</v>
      </c>
      <c r="Y25" t="b">
        <f t="shared" si="0"/>
        <v>1</v>
      </c>
      <c r="Z25" t="str">
        <f t="shared" si="1"/>
        <v>4-8層</v>
      </c>
      <c r="AA25" t="b">
        <f t="shared" si="2"/>
        <v>1</v>
      </c>
      <c r="AB25" t="b">
        <f>IF($D25&gt;=VLOOKUP($B25,各行政區平均值!$A:$B,2,0)*1.5,TRUE,FALSE)</f>
        <v>1</v>
      </c>
      <c r="AC25" t="b">
        <f t="shared" si="3"/>
        <v>1</v>
      </c>
    </row>
    <row r="26" spans="1:29" x14ac:dyDescent="0.25">
      <c r="A26" t="s">
        <v>24</v>
      </c>
      <c r="B26" t="s">
        <v>25</v>
      </c>
      <c r="C26" t="s">
        <v>26</v>
      </c>
      <c r="D26">
        <v>16000</v>
      </c>
      <c r="E26">
        <v>1</v>
      </c>
      <c r="F26">
        <v>1</v>
      </c>
      <c r="G26" t="b">
        <v>1</v>
      </c>
      <c r="H26" t="b">
        <v>1</v>
      </c>
      <c r="I26" t="b">
        <v>0</v>
      </c>
      <c r="J26" t="b">
        <v>0</v>
      </c>
      <c r="K26" t="s">
        <v>27</v>
      </c>
      <c r="L26">
        <v>11</v>
      </c>
      <c r="M26">
        <v>6</v>
      </c>
      <c r="N26">
        <v>10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0</v>
      </c>
      <c r="W26" t="b">
        <v>1</v>
      </c>
      <c r="X26" t="b">
        <v>1</v>
      </c>
      <c r="Y26" t="b">
        <f t="shared" si="0"/>
        <v>1</v>
      </c>
      <c r="Z26" t="str">
        <f t="shared" si="1"/>
        <v>4-8層</v>
      </c>
      <c r="AA26" t="b">
        <f t="shared" si="2"/>
        <v>0</v>
      </c>
      <c r="AB26" t="b">
        <f>IF($D26&gt;=VLOOKUP($B26,各行政區平均值!$A:$B,2,0)*1.5,TRUE,FALSE)</f>
        <v>0</v>
      </c>
      <c r="AC26" t="b">
        <f t="shared" si="3"/>
        <v>0</v>
      </c>
    </row>
    <row r="27" spans="1:29" x14ac:dyDescent="0.25">
      <c r="A27" t="s">
        <v>24</v>
      </c>
      <c r="B27" t="s">
        <v>28</v>
      </c>
      <c r="C27" t="s">
        <v>29</v>
      </c>
      <c r="D27">
        <v>45000</v>
      </c>
      <c r="E27">
        <v>4</v>
      </c>
      <c r="F27">
        <v>2</v>
      </c>
      <c r="G27" t="b">
        <v>1</v>
      </c>
      <c r="H27" t="b">
        <v>0</v>
      </c>
      <c r="I27" t="b">
        <v>1</v>
      </c>
      <c r="J27" t="b">
        <v>0</v>
      </c>
      <c r="K27" t="s">
        <v>27</v>
      </c>
      <c r="L27">
        <v>38</v>
      </c>
      <c r="M27">
        <v>15</v>
      </c>
      <c r="N27">
        <v>20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0</v>
      </c>
      <c r="V27" t="b">
        <v>1</v>
      </c>
      <c r="W27" t="b">
        <v>1</v>
      </c>
      <c r="X27" t="b">
        <v>1</v>
      </c>
      <c r="Y27" t="b">
        <f t="shared" si="0"/>
        <v>1</v>
      </c>
      <c r="Z27" t="str">
        <f t="shared" si="1"/>
        <v>9層以上</v>
      </c>
      <c r="AA27" t="b">
        <f t="shared" si="2"/>
        <v>1</v>
      </c>
      <c r="AB27" t="b">
        <f>IF($D27&gt;=VLOOKUP($B27,各行政區平均值!$A:$B,2,0)*1.5,TRUE,FALSE)</f>
        <v>0</v>
      </c>
      <c r="AC27" t="b">
        <f t="shared" si="3"/>
        <v>0</v>
      </c>
    </row>
    <row r="28" spans="1:29" x14ac:dyDescent="0.25">
      <c r="A28" t="s">
        <v>24</v>
      </c>
      <c r="B28" t="s">
        <v>31</v>
      </c>
      <c r="C28" t="s">
        <v>32</v>
      </c>
      <c r="D28">
        <v>10000</v>
      </c>
      <c r="E28">
        <v>1</v>
      </c>
      <c r="F28">
        <v>1</v>
      </c>
      <c r="G28" t="b">
        <v>1</v>
      </c>
      <c r="H28" t="b">
        <v>1</v>
      </c>
      <c r="I28" t="b">
        <v>0</v>
      </c>
      <c r="J28" t="b">
        <v>1</v>
      </c>
      <c r="K28" t="s">
        <v>27</v>
      </c>
      <c r="L28">
        <v>8.1999999999999993</v>
      </c>
      <c r="M28">
        <v>4</v>
      </c>
      <c r="N28">
        <v>8</v>
      </c>
      <c r="O28" t="b">
        <v>1</v>
      </c>
      <c r="P28" t="b">
        <v>0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  <c r="W28" t="b">
        <v>1</v>
      </c>
      <c r="X28" t="b">
        <v>0</v>
      </c>
      <c r="Y28" t="b">
        <f t="shared" si="0"/>
        <v>0</v>
      </c>
      <c r="Z28" t="str">
        <f t="shared" si="1"/>
        <v>4-8層</v>
      </c>
      <c r="AA28" t="b">
        <f t="shared" si="2"/>
        <v>0</v>
      </c>
      <c r="AB28" t="b">
        <f>IF($D28&gt;=VLOOKUP($B28,各行政區平均值!$A:$B,2,0)*1.5,TRUE,FALSE)</f>
        <v>0</v>
      </c>
      <c r="AC28" t="b">
        <f t="shared" si="3"/>
        <v>0</v>
      </c>
    </row>
    <row r="29" spans="1:29" x14ac:dyDescent="0.25">
      <c r="A29" t="s">
        <v>24</v>
      </c>
      <c r="B29" t="s">
        <v>33</v>
      </c>
      <c r="C29" t="s">
        <v>34</v>
      </c>
      <c r="D29">
        <v>5800</v>
      </c>
      <c r="E29">
        <v>1</v>
      </c>
      <c r="F29">
        <v>0</v>
      </c>
      <c r="G29" t="b">
        <v>0</v>
      </c>
      <c r="H29" t="b">
        <v>0</v>
      </c>
      <c r="I29" t="b">
        <v>1</v>
      </c>
      <c r="J29" t="b">
        <v>0</v>
      </c>
      <c r="K29" t="s">
        <v>30</v>
      </c>
      <c r="L29">
        <v>4.8</v>
      </c>
      <c r="M29">
        <v>2</v>
      </c>
      <c r="N29">
        <v>4</v>
      </c>
      <c r="O29" t="b">
        <v>1</v>
      </c>
      <c r="P29" t="b">
        <v>0</v>
      </c>
      <c r="Q29" t="b">
        <v>0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  <c r="W29" t="b">
        <v>0</v>
      </c>
      <c r="X29" t="b">
        <v>0</v>
      </c>
      <c r="Y29" t="b">
        <f t="shared" si="0"/>
        <v>0</v>
      </c>
      <c r="Z29" t="str">
        <f t="shared" si="1"/>
        <v>1-3層</v>
      </c>
      <c r="AA29" t="b">
        <f t="shared" si="2"/>
        <v>0</v>
      </c>
      <c r="AB29" t="b">
        <f>IF($D29&gt;=VLOOKUP($B29,各行政區平均值!$A:$B,2,0)*1.5,TRUE,FALSE)</f>
        <v>0</v>
      </c>
      <c r="AC29" t="b">
        <f t="shared" si="3"/>
        <v>0</v>
      </c>
    </row>
    <row r="30" spans="1:29" x14ac:dyDescent="0.25">
      <c r="A30" t="s">
        <v>24</v>
      </c>
      <c r="B30" t="s">
        <v>35</v>
      </c>
      <c r="C30" t="s">
        <v>26</v>
      </c>
      <c r="D30">
        <v>13500</v>
      </c>
      <c r="E30">
        <v>1</v>
      </c>
      <c r="F30">
        <v>1</v>
      </c>
      <c r="G30" t="b">
        <v>1</v>
      </c>
      <c r="H30" t="b">
        <v>1</v>
      </c>
      <c r="I30" t="b">
        <v>0</v>
      </c>
      <c r="J30" t="b">
        <v>0</v>
      </c>
      <c r="K30" t="s">
        <v>27</v>
      </c>
      <c r="L30">
        <v>9.5</v>
      </c>
      <c r="M30">
        <v>7</v>
      </c>
      <c r="N30">
        <v>12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0</v>
      </c>
      <c r="W30" t="b">
        <v>1</v>
      </c>
      <c r="X30" t="b">
        <v>1</v>
      </c>
      <c r="Y30" t="b">
        <f t="shared" si="0"/>
        <v>1</v>
      </c>
      <c r="Z30" t="str">
        <f t="shared" si="1"/>
        <v>4-8層</v>
      </c>
      <c r="AA30" t="b">
        <f t="shared" si="2"/>
        <v>0</v>
      </c>
      <c r="AB30" t="b">
        <f>IF($D30&gt;=VLOOKUP($B30,各行政區平均值!$A:$B,2,0)*1.5,TRUE,FALSE)</f>
        <v>0</v>
      </c>
      <c r="AC30" t="b">
        <f t="shared" si="3"/>
        <v>0</v>
      </c>
    </row>
    <row r="31" spans="1:29" x14ac:dyDescent="0.25">
      <c r="A31" t="s">
        <v>24</v>
      </c>
      <c r="B31" t="s">
        <v>36</v>
      </c>
      <c r="C31" t="s">
        <v>29</v>
      </c>
      <c r="D31">
        <v>33000</v>
      </c>
      <c r="E31">
        <v>3</v>
      </c>
      <c r="F31">
        <v>2</v>
      </c>
      <c r="G31" t="b">
        <v>0</v>
      </c>
      <c r="H31" t="b">
        <v>0</v>
      </c>
      <c r="I31" t="b">
        <v>1</v>
      </c>
      <c r="J31" t="b">
        <v>0</v>
      </c>
      <c r="K31" t="s">
        <v>27</v>
      </c>
      <c r="L31">
        <v>29</v>
      </c>
      <c r="M31">
        <v>5</v>
      </c>
      <c r="N31">
        <v>10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0</v>
      </c>
      <c r="V31" t="b">
        <v>1</v>
      </c>
      <c r="W31" t="b">
        <v>1</v>
      </c>
      <c r="X31" t="b">
        <v>1</v>
      </c>
      <c r="Y31" t="b">
        <f t="shared" si="0"/>
        <v>1</v>
      </c>
      <c r="Z31" t="str">
        <f t="shared" si="1"/>
        <v>4-8層</v>
      </c>
      <c r="AA31" t="b">
        <f t="shared" si="2"/>
        <v>1</v>
      </c>
      <c r="AB31" t="b">
        <f>IF($D31&gt;=VLOOKUP($B31,各行政區平均值!$A:$B,2,0)*1.5,TRUE,FALSE)</f>
        <v>0</v>
      </c>
      <c r="AC31" t="b">
        <f t="shared" si="3"/>
        <v>0</v>
      </c>
    </row>
    <row r="32" spans="1:29" x14ac:dyDescent="0.25">
      <c r="A32" t="s">
        <v>24</v>
      </c>
      <c r="B32" t="s">
        <v>37</v>
      </c>
      <c r="C32" t="s">
        <v>32</v>
      </c>
      <c r="D32">
        <v>7800</v>
      </c>
      <c r="E32">
        <v>1</v>
      </c>
      <c r="F32">
        <v>1</v>
      </c>
      <c r="G32" t="b">
        <v>1</v>
      </c>
      <c r="H32" t="b">
        <v>1</v>
      </c>
      <c r="I32" t="b">
        <v>0</v>
      </c>
      <c r="J32" t="b">
        <v>0</v>
      </c>
      <c r="K32" t="s">
        <v>30</v>
      </c>
      <c r="L32">
        <v>6.2</v>
      </c>
      <c r="M32">
        <v>3</v>
      </c>
      <c r="N32">
        <v>5</v>
      </c>
      <c r="O32" t="b">
        <v>1</v>
      </c>
      <c r="P32" t="b">
        <v>0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0</v>
      </c>
      <c r="W32" t="b">
        <v>0</v>
      </c>
      <c r="X32" t="b">
        <v>0</v>
      </c>
      <c r="Y32" t="b">
        <f t="shared" si="0"/>
        <v>0</v>
      </c>
      <c r="Z32" t="str">
        <f t="shared" si="1"/>
        <v>1-3層</v>
      </c>
      <c r="AA32" t="b">
        <f t="shared" si="2"/>
        <v>0</v>
      </c>
      <c r="AB32" t="b">
        <f>IF($D32&gt;=VLOOKUP($B32,各行政區平均值!$A:$B,2,0)*1.5,TRUE,FALSE)</f>
        <v>0</v>
      </c>
      <c r="AC32" t="b">
        <f t="shared" si="3"/>
        <v>0</v>
      </c>
    </row>
    <row r="33" spans="1:29" x14ac:dyDescent="0.25">
      <c r="A33" t="s">
        <v>24</v>
      </c>
      <c r="B33" t="s">
        <v>39</v>
      </c>
      <c r="C33" t="s">
        <v>34</v>
      </c>
      <c r="D33">
        <v>5100</v>
      </c>
      <c r="E33">
        <v>1</v>
      </c>
      <c r="F33">
        <v>0</v>
      </c>
      <c r="G33" t="b">
        <v>0</v>
      </c>
      <c r="H33" t="b">
        <v>0</v>
      </c>
      <c r="I33" t="b">
        <v>0</v>
      </c>
      <c r="J33" t="b">
        <v>1</v>
      </c>
      <c r="K33" t="s">
        <v>30</v>
      </c>
      <c r="L33">
        <v>4.0999999999999996</v>
      </c>
      <c r="M33">
        <v>1</v>
      </c>
      <c r="N33">
        <v>4</v>
      </c>
      <c r="O33" t="b">
        <v>0</v>
      </c>
      <c r="P33" t="b">
        <v>0</v>
      </c>
      <c r="Q33" t="b">
        <v>0</v>
      </c>
      <c r="R33" t="b">
        <v>1</v>
      </c>
      <c r="S33" t="b">
        <v>1</v>
      </c>
      <c r="T33" t="b">
        <v>1</v>
      </c>
      <c r="U33" t="b">
        <v>1</v>
      </c>
      <c r="V33" t="b">
        <v>0</v>
      </c>
      <c r="W33" t="b">
        <v>0</v>
      </c>
      <c r="X33" t="b">
        <v>0</v>
      </c>
      <c r="Y33" t="b">
        <f t="shared" si="0"/>
        <v>0</v>
      </c>
      <c r="Z33" t="str">
        <f t="shared" si="1"/>
        <v>1-3層</v>
      </c>
      <c r="AA33" t="b">
        <f t="shared" si="2"/>
        <v>0</v>
      </c>
      <c r="AB33" t="b">
        <f>IF($D33&gt;=VLOOKUP($B33,各行政區平均值!$A:$B,2,0)*1.5,TRUE,FALSE)</f>
        <v>0</v>
      </c>
      <c r="AC33" t="b">
        <f t="shared" si="3"/>
        <v>0</v>
      </c>
    </row>
    <row r="34" spans="1:29" x14ac:dyDescent="0.25">
      <c r="A34" t="s">
        <v>24</v>
      </c>
      <c r="B34" t="s">
        <v>40</v>
      </c>
      <c r="C34" t="s">
        <v>26</v>
      </c>
      <c r="D34">
        <v>11000</v>
      </c>
      <c r="E34">
        <v>1</v>
      </c>
      <c r="F34">
        <v>1</v>
      </c>
      <c r="G34" t="b">
        <v>1</v>
      </c>
      <c r="H34" t="b">
        <v>1</v>
      </c>
      <c r="I34" t="b">
        <v>1</v>
      </c>
      <c r="J34" t="b">
        <v>0</v>
      </c>
      <c r="K34" t="s">
        <v>30</v>
      </c>
      <c r="L34">
        <v>8.8000000000000007</v>
      </c>
      <c r="M34">
        <v>2</v>
      </c>
      <c r="N34">
        <v>4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0</v>
      </c>
      <c r="W34" t="b">
        <v>0</v>
      </c>
      <c r="X34" t="b">
        <v>1</v>
      </c>
      <c r="Y34" t="b">
        <f t="shared" si="0"/>
        <v>1</v>
      </c>
      <c r="Z34" t="str">
        <f t="shared" si="1"/>
        <v>1-3層</v>
      </c>
      <c r="AA34" t="b">
        <f t="shared" si="2"/>
        <v>0</v>
      </c>
      <c r="AB34" t="b">
        <f>IF($D34&gt;=VLOOKUP($B34,各行政區平均值!$A:$B,2,0)*1.5,TRUE,FALSE)</f>
        <v>0</v>
      </c>
      <c r="AC34" t="b">
        <f t="shared" si="3"/>
        <v>0</v>
      </c>
    </row>
    <row r="35" spans="1:29" x14ac:dyDescent="0.25">
      <c r="A35" t="s">
        <v>24</v>
      </c>
      <c r="B35" t="s">
        <v>41</v>
      </c>
      <c r="C35" t="s">
        <v>29</v>
      </c>
      <c r="D35">
        <v>18000</v>
      </c>
      <c r="E35">
        <v>1</v>
      </c>
      <c r="F35">
        <v>1</v>
      </c>
      <c r="G35" t="b">
        <v>1</v>
      </c>
      <c r="H35" t="b">
        <v>0</v>
      </c>
      <c r="I35" t="b">
        <v>0</v>
      </c>
      <c r="J35" t="b">
        <v>0</v>
      </c>
      <c r="K35" t="s">
        <v>30</v>
      </c>
      <c r="L35">
        <v>15</v>
      </c>
      <c r="M35">
        <v>3</v>
      </c>
      <c r="N35">
        <v>5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0</v>
      </c>
      <c r="V35" t="b">
        <v>0</v>
      </c>
      <c r="W35" t="b">
        <v>0</v>
      </c>
      <c r="X35" t="b">
        <v>1</v>
      </c>
      <c r="Y35" t="b">
        <f t="shared" si="0"/>
        <v>1</v>
      </c>
      <c r="Z35" t="str">
        <f t="shared" si="1"/>
        <v>1-3層</v>
      </c>
      <c r="AA35" t="b">
        <f t="shared" si="2"/>
        <v>0</v>
      </c>
      <c r="AB35" t="b">
        <f>IF($D35&gt;=VLOOKUP($B35,各行政區平均值!$A:$B,2,0)*1.5,TRUE,FALSE)</f>
        <v>0</v>
      </c>
      <c r="AC35" t="b">
        <f t="shared" si="3"/>
        <v>0</v>
      </c>
    </row>
    <row r="36" spans="1:29" x14ac:dyDescent="0.25">
      <c r="A36" t="s">
        <v>24</v>
      </c>
      <c r="B36" t="s">
        <v>42</v>
      </c>
      <c r="C36" t="s">
        <v>32</v>
      </c>
      <c r="D36">
        <v>7200</v>
      </c>
      <c r="E36">
        <v>1</v>
      </c>
      <c r="F36">
        <v>1</v>
      </c>
      <c r="G36" t="b">
        <v>1</v>
      </c>
      <c r="H36" t="b">
        <v>1</v>
      </c>
      <c r="I36" t="b">
        <v>0</v>
      </c>
      <c r="J36" t="b">
        <v>0</v>
      </c>
      <c r="K36" t="s">
        <v>30</v>
      </c>
      <c r="L36">
        <v>5.6</v>
      </c>
      <c r="M36">
        <v>4</v>
      </c>
      <c r="N36">
        <v>5</v>
      </c>
      <c r="O36" t="b">
        <v>1</v>
      </c>
      <c r="P36" t="b">
        <v>0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0</v>
      </c>
      <c r="W36" t="b">
        <v>0</v>
      </c>
      <c r="X36" t="b">
        <v>0</v>
      </c>
      <c r="Y36" t="b">
        <f t="shared" si="0"/>
        <v>0</v>
      </c>
      <c r="Z36" t="str">
        <f t="shared" si="1"/>
        <v>4-8層</v>
      </c>
      <c r="AA36" t="b">
        <f t="shared" si="2"/>
        <v>0</v>
      </c>
      <c r="AB36" t="b">
        <f>IF($D36&gt;=VLOOKUP($B36,各行政區平均值!$A:$B,2,0)*1.5,TRUE,FALSE)</f>
        <v>0</v>
      </c>
      <c r="AC36" t="b">
        <f t="shared" si="3"/>
        <v>0</v>
      </c>
    </row>
    <row r="37" spans="1:29" x14ac:dyDescent="0.25">
      <c r="A37" t="s">
        <v>24</v>
      </c>
      <c r="B37" t="s">
        <v>43</v>
      </c>
      <c r="C37" t="s">
        <v>34</v>
      </c>
      <c r="D37">
        <v>5300</v>
      </c>
      <c r="E37">
        <v>1</v>
      </c>
      <c r="F37">
        <v>0</v>
      </c>
      <c r="G37" t="b">
        <v>0</v>
      </c>
      <c r="H37" t="b">
        <v>0</v>
      </c>
      <c r="I37" t="b">
        <v>1</v>
      </c>
      <c r="J37" t="b">
        <v>1</v>
      </c>
      <c r="K37" t="s">
        <v>30</v>
      </c>
      <c r="L37">
        <v>4.3</v>
      </c>
      <c r="M37">
        <v>2</v>
      </c>
      <c r="N37">
        <v>4</v>
      </c>
      <c r="O37" t="b">
        <v>1</v>
      </c>
      <c r="P37" t="b">
        <v>0</v>
      </c>
      <c r="Q37" t="b">
        <v>0</v>
      </c>
      <c r="R37" t="b">
        <v>1</v>
      </c>
      <c r="S37" t="b">
        <v>1</v>
      </c>
      <c r="T37" t="b">
        <v>1</v>
      </c>
      <c r="U37" t="b">
        <v>1</v>
      </c>
      <c r="V37" t="b">
        <v>0</v>
      </c>
      <c r="W37" t="b">
        <v>0</v>
      </c>
      <c r="X37" t="b">
        <v>0</v>
      </c>
      <c r="Y37" t="b">
        <f t="shared" si="0"/>
        <v>0</v>
      </c>
      <c r="Z37" t="str">
        <f t="shared" si="1"/>
        <v>1-3層</v>
      </c>
      <c r="AA37" t="b">
        <f t="shared" si="2"/>
        <v>0</v>
      </c>
      <c r="AB37" t="b">
        <f>IF($D37&gt;=VLOOKUP($B37,各行政區平均值!$A:$B,2,0)*1.5,TRUE,FALSE)</f>
        <v>0</v>
      </c>
      <c r="AC37" t="b">
        <f t="shared" si="3"/>
        <v>0</v>
      </c>
    </row>
    <row r="38" spans="1:29" x14ac:dyDescent="0.25">
      <c r="A38" t="s">
        <v>24</v>
      </c>
      <c r="B38" t="s">
        <v>25</v>
      </c>
      <c r="C38" t="s">
        <v>29</v>
      </c>
      <c r="D38">
        <v>48000</v>
      </c>
      <c r="E38">
        <v>4</v>
      </c>
      <c r="F38">
        <v>2</v>
      </c>
      <c r="G38" t="b">
        <v>1</v>
      </c>
      <c r="H38" t="b">
        <v>0</v>
      </c>
      <c r="I38" t="b">
        <v>0</v>
      </c>
      <c r="J38" t="b">
        <v>0</v>
      </c>
      <c r="K38" t="s">
        <v>27</v>
      </c>
      <c r="L38">
        <v>40</v>
      </c>
      <c r="M38">
        <v>10</v>
      </c>
      <c r="N38">
        <v>15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0</v>
      </c>
      <c r="V38" t="b">
        <v>1</v>
      </c>
      <c r="W38" t="b">
        <v>1</v>
      </c>
      <c r="X38" t="b">
        <v>1</v>
      </c>
      <c r="Y38" t="b">
        <f t="shared" si="0"/>
        <v>1</v>
      </c>
      <c r="Z38" t="str">
        <f t="shared" si="1"/>
        <v>9層以上</v>
      </c>
      <c r="AA38" t="b">
        <f t="shared" si="2"/>
        <v>1</v>
      </c>
      <c r="AB38" t="b">
        <f>IF($D38&gt;=VLOOKUP($B38,各行政區平均值!$A:$B,2,0)*1.5,TRUE,FALSE)</f>
        <v>1</v>
      </c>
      <c r="AC38" t="b">
        <f t="shared" si="3"/>
        <v>1</v>
      </c>
    </row>
    <row r="39" spans="1:29" x14ac:dyDescent="0.25">
      <c r="A39" t="s">
        <v>24</v>
      </c>
      <c r="B39" t="s">
        <v>28</v>
      </c>
      <c r="C39" t="s">
        <v>26</v>
      </c>
      <c r="D39">
        <v>17000</v>
      </c>
      <c r="E39">
        <v>1</v>
      </c>
      <c r="F39">
        <v>1</v>
      </c>
      <c r="G39" t="b">
        <v>1</v>
      </c>
      <c r="H39" t="b">
        <v>1</v>
      </c>
      <c r="I39" t="b">
        <v>1</v>
      </c>
      <c r="J39" t="b">
        <v>0</v>
      </c>
      <c r="K39" t="s">
        <v>27</v>
      </c>
      <c r="L39">
        <v>12</v>
      </c>
      <c r="M39">
        <v>8</v>
      </c>
      <c r="N39">
        <v>12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0</v>
      </c>
      <c r="W39" t="b">
        <v>1</v>
      </c>
      <c r="X39" t="b">
        <v>1</v>
      </c>
      <c r="Y39" t="b">
        <f t="shared" si="0"/>
        <v>1</v>
      </c>
      <c r="Z39" t="str">
        <f t="shared" si="1"/>
        <v>4-8層</v>
      </c>
      <c r="AA39" t="b">
        <f t="shared" si="2"/>
        <v>0</v>
      </c>
      <c r="AB39" t="b">
        <f>IF($D39&gt;=VLOOKUP($B39,各行政區平均值!$A:$B,2,0)*1.5,TRUE,FALSE)</f>
        <v>0</v>
      </c>
      <c r="AC39" t="b">
        <f t="shared" si="3"/>
        <v>0</v>
      </c>
    </row>
    <row r="40" spans="1:29" x14ac:dyDescent="0.25">
      <c r="A40" t="s">
        <v>24</v>
      </c>
      <c r="B40" t="s">
        <v>31</v>
      </c>
      <c r="C40" t="s">
        <v>32</v>
      </c>
      <c r="D40">
        <v>9200</v>
      </c>
      <c r="E40">
        <v>1</v>
      </c>
      <c r="F40">
        <v>1</v>
      </c>
      <c r="G40" t="b">
        <v>1</v>
      </c>
      <c r="H40" t="b">
        <v>0</v>
      </c>
      <c r="I40" t="b">
        <v>0</v>
      </c>
      <c r="J40" t="b">
        <v>1</v>
      </c>
      <c r="K40" t="s">
        <v>27</v>
      </c>
      <c r="L40">
        <v>7.2</v>
      </c>
      <c r="M40">
        <v>6</v>
      </c>
      <c r="N40">
        <v>9</v>
      </c>
      <c r="O40" t="b">
        <v>1</v>
      </c>
      <c r="P40" t="b">
        <v>0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0</v>
      </c>
      <c r="W40" t="b">
        <v>1</v>
      </c>
      <c r="X40" t="b">
        <v>0</v>
      </c>
      <c r="Y40" t="b">
        <f t="shared" si="0"/>
        <v>0</v>
      </c>
      <c r="Z40" t="str">
        <f t="shared" si="1"/>
        <v>4-8層</v>
      </c>
      <c r="AA40" t="b">
        <f t="shared" si="2"/>
        <v>0</v>
      </c>
      <c r="AB40" t="b">
        <f>IF($D40&gt;=VLOOKUP($B40,各行政區平均值!$A:$B,2,0)*1.5,TRUE,FALSE)</f>
        <v>0</v>
      </c>
      <c r="AC40" t="b">
        <f t="shared" si="3"/>
        <v>0</v>
      </c>
    </row>
    <row r="41" spans="1:29" x14ac:dyDescent="0.25">
      <c r="A41" t="s">
        <v>24</v>
      </c>
      <c r="B41" t="s">
        <v>33</v>
      </c>
      <c r="C41" t="s">
        <v>34</v>
      </c>
      <c r="D41">
        <v>6200</v>
      </c>
      <c r="E41">
        <v>1</v>
      </c>
      <c r="F41">
        <v>0</v>
      </c>
      <c r="G41" t="b">
        <v>1</v>
      </c>
      <c r="H41" t="b">
        <v>1</v>
      </c>
      <c r="I41" t="b">
        <v>0</v>
      </c>
      <c r="J41" t="b">
        <v>0</v>
      </c>
      <c r="K41" t="s">
        <v>30</v>
      </c>
      <c r="L41">
        <v>5.2</v>
      </c>
      <c r="M41">
        <v>1</v>
      </c>
      <c r="N41">
        <v>4</v>
      </c>
      <c r="O41" t="b">
        <v>1</v>
      </c>
      <c r="P41" t="b">
        <v>0</v>
      </c>
      <c r="Q41" t="b">
        <v>0</v>
      </c>
      <c r="R41" t="b">
        <v>1</v>
      </c>
      <c r="S41" t="b">
        <v>1</v>
      </c>
      <c r="T41" t="b">
        <v>1</v>
      </c>
      <c r="U41" t="b">
        <v>1</v>
      </c>
      <c r="V41" t="b">
        <v>0</v>
      </c>
      <c r="W41" t="b">
        <v>0</v>
      </c>
      <c r="X41" t="b">
        <v>0</v>
      </c>
      <c r="Y41" t="b">
        <f t="shared" si="0"/>
        <v>0</v>
      </c>
      <c r="Z41" t="str">
        <f t="shared" si="1"/>
        <v>1-3層</v>
      </c>
      <c r="AA41" t="b">
        <f t="shared" si="2"/>
        <v>0</v>
      </c>
      <c r="AB41" t="b">
        <f>IF($D41&gt;=VLOOKUP($B41,各行政區平均值!$A:$B,2,0)*1.5,TRUE,FALSE)</f>
        <v>0</v>
      </c>
      <c r="AC41" t="b">
        <f t="shared" si="3"/>
        <v>0</v>
      </c>
    </row>
    <row r="42" spans="1:29" x14ac:dyDescent="0.25">
      <c r="A42" t="s">
        <v>24</v>
      </c>
      <c r="B42" t="s">
        <v>35</v>
      </c>
      <c r="C42" t="s">
        <v>29</v>
      </c>
      <c r="D42">
        <v>32000</v>
      </c>
      <c r="E42">
        <v>2</v>
      </c>
      <c r="F42">
        <v>1</v>
      </c>
      <c r="G42" t="b">
        <v>1</v>
      </c>
      <c r="H42" t="b">
        <v>0</v>
      </c>
      <c r="I42" t="b">
        <v>1</v>
      </c>
      <c r="J42" t="b">
        <v>0</v>
      </c>
      <c r="K42" t="s">
        <v>27</v>
      </c>
      <c r="L42">
        <v>26</v>
      </c>
      <c r="M42">
        <v>9</v>
      </c>
      <c r="N42">
        <v>14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0</v>
      </c>
      <c r="V42" t="b">
        <v>1</v>
      </c>
      <c r="W42" t="b">
        <v>1</v>
      </c>
      <c r="X42" t="b">
        <v>1</v>
      </c>
      <c r="Y42" t="b">
        <f t="shared" si="0"/>
        <v>1</v>
      </c>
      <c r="Z42" t="str">
        <f t="shared" si="1"/>
        <v>9層以上</v>
      </c>
      <c r="AA42" t="b">
        <f t="shared" si="2"/>
        <v>1</v>
      </c>
      <c r="AB42" t="b">
        <f>IF($D42&gt;=VLOOKUP($B42,各行政區平均值!$A:$B,2,0)*1.5,TRUE,FALSE)</f>
        <v>1</v>
      </c>
      <c r="AC42" t="b">
        <f t="shared" si="3"/>
        <v>1</v>
      </c>
    </row>
    <row r="43" spans="1:29" x14ac:dyDescent="0.25">
      <c r="A43" t="s">
        <v>24</v>
      </c>
      <c r="B43" t="s">
        <v>36</v>
      </c>
      <c r="C43" t="s">
        <v>26</v>
      </c>
      <c r="D43">
        <v>12500</v>
      </c>
      <c r="E43">
        <v>1</v>
      </c>
      <c r="F43">
        <v>1</v>
      </c>
      <c r="G43" t="b">
        <v>0</v>
      </c>
      <c r="H43" t="b">
        <v>1</v>
      </c>
      <c r="I43" t="b">
        <v>0</v>
      </c>
      <c r="J43" t="b">
        <v>0</v>
      </c>
      <c r="K43" t="s">
        <v>27</v>
      </c>
      <c r="L43">
        <v>9.1999999999999993</v>
      </c>
      <c r="M43">
        <v>4</v>
      </c>
      <c r="N43">
        <v>8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0</v>
      </c>
      <c r="W43" t="b">
        <v>1</v>
      </c>
      <c r="X43" t="b">
        <v>1</v>
      </c>
      <c r="Y43" t="b">
        <f t="shared" si="0"/>
        <v>1</v>
      </c>
      <c r="Z43" t="str">
        <f t="shared" si="1"/>
        <v>4-8層</v>
      </c>
      <c r="AA43" t="b">
        <f t="shared" si="2"/>
        <v>0</v>
      </c>
      <c r="AB43" t="b">
        <f>IF($D43&gt;=VLOOKUP($B43,各行政區平均值!$A:$B,2,0)*1.5,TRUE,FALSE)</f>
        <v>0</v>
      </c>
      <c r="AC43" t="b">
        <f t="shared" si="3"/>
        <v>0</v>
      </c>
    </row>
    <row r="44" spans="1:29" x14ac:dyDescent="0.25">
      <c r="A44" t="s">
        <v>24</v>
      </c>
      <c r="B44" t="s">
        <v>37</v>
      </c>
      <c r="C44" t="s">
        <v>29</v>
      </c>
      <c r="D44">
        <v>28000</v>
      </c>
      <c r="E44">
        <v>3</v>
      </c>
      <c r="F44">
        <v>2</v>
      </c>
      <c r="G44" t="b">
        <v>1</v>
      </c>
      <c r="H44" t="b">
        <v>0</v>
      </c>
      <c r="I44" t="b">
        <v>1</v>
      </c>
      <c r="J44" t="b">
        <v>0</v>
      </c>
      <c r="K44" t="s">
        <v>38</v>
      </c>
      <c r="L44">
        <v>32</v>
      </c>
      <c r="M44">
        <v>1</v>
      </c>
      <c r="N44">
        <v>3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0</v>
      </c>
      <c r="V44" t="b">
        <v>1</v>
      </c>
      <c r="W44" t="b">
        <v>0</v>
      </c>
      <c r="X44" t="b">
        <v>1</v>
      </c>
      <c r="Y44" t="b">
        <f t="shared" si="0"/>
        <v>1</v>
      </c>
      <c r="Z44" t="str">
        <f t="shared" si="1"/>
        <v>1-3層</v>
      </c>
      <c r="AA44" t="b">
        <f t="shared" si="2"/>
        <v>0</v>
      </c>
      <c r="AB44" t="b">
        <f>IF($D44&gt;=VLOOKUP($B44,各行政區平均值!$A:$B,2,0)*1.5,TRUE,FALSE)</f>
        <v>1</v>
      </c>
      <c r="AC44" t="b">
        <f t="shared" si="3"/>
        <v>0</v>
      </c>
    </row>
    <row r="45" spans="1:29" x14ac:dyDescent="0.25">
      <c r="A45" t="s">
        <v>24</v>
      </c>
      <c r="B45" t="s">
        <v>39</v>
      </c>
      <c r="C45" t="s">
        <v>32</v>
      </c>
      <c r="D45">
        <v>8300</v>
      </c>
      <c r="E45">
        <v>1</v>
      </c>
      <c r="F45">
        <v>1</v>
      </c>
      <c r="G45" t="b">
        <v>0</v>
      </c>
      <c r="H45" t="b">
        <v>1</v>
      </c>
      <c r="I45" t="b">
        <v>0</v>
      </c>
      <c r="J45" t="b">
        <v>0</v>
      </c>
      <c r="K45" t="s">
        <v>30</v>
      </c>
      <c r="L45">
        <v>6.8</v>
      </c>
      <c r="M45">
        <v>3</v>
      </c>
      <c r="N45">
        <v>5</v>
      </c>
      <c r="O45" t="b">
        <v>1</v>
      </c>
      <c r="P45" t="b">
        <v>0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0</v>
      </c>
      <c r="W45" t="b">
        <v>0</v>
      </c>
      <c r="X45" t="b">
        <v>0</v>
      </c>
      <c r="Y45" t="b">
        <f t="shared" si="0"/>
        <v>0</v>
      </c>
      <c r="Z45" t="str">
        <f t="shared" si="1"/>
        <v>1-3層</v>
      </c>
      <c r="AA45" t="b">
        <f t="shared" si="2"/>
        <v>0</v>
      </c>
      <c r="AB45" t="b">
        <f>IF($D45&gt;=VLOOKUP($B45,各行政區平均值!$A:$B,2,0)*1.5,TRUE,FALSE)</f>
        <v>0</v>
      </c>
      <c r="AC45" t="b">
        <f t="shared" si="3"/>
        <v>0</v>
      </c>
    </row>
    <row r="46" spans="1:29" x14ac:dyDescent="0.25">
      <c r="A46" t="s">
        <v>24</v>
      </c>
      <c r="B46" t="s">
        <v>40</v>
      </c>
      <c r="C46" t="s">
        <v>34</v>
      </c>
      <c r="D46">
        <v>4900</v>
      </c>
      <c r="E46">
        <v>1</v>
      </c>
      <c r="F46">
        <v>0</v>
      </c>
      <c r="G46" t="b">
        <v>1</v>
      </c>
      <c r="H46" t="b">
        <v>0</v>
      </c>
      <c r="I46" t="b">
        <v>0</v>
      </c>
      <c r="J46" t="b">
        <v>1</v>
      </c>
      <c r="K46" t="s">
        <v>30</v>
      </c>
      <c r="L46">
        <v>3.9</v>
      </c>
      <c r="M46">
        <v>2</v>
      </c>
      <c r="N46">
        <v>4</v>
      </c>
      <c r="O46" t="b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f t="shared" si="0"/>
        <v>0</v>
      </c>
      <c r="Z46" t="str">
        <f t="shared" si="1"/>
        <v>1-3層</v>
      </c>
      <c r="AA46" t="b">
        <f t="shared" si="2"/>
        <v>0</v>
      </c>
      <c r="AB46" t="b">
        <f>IF($D46&gt;=VLOOKUP($B46,各行政區平均值!$A:$B,2,0)*1.5,TRUE,FALSE)</f>
        <v>0</v>
      </c>
      <c r="AC46" t="b">
        <f t="shared" si="3"/>
        <v>0</v>
      </c>
    </row>
    <row r="47" spans="1:29" x14ac:dyDescent="0.25">
      <c r="A47" t="s">
        <v>24</v>
      </c>
      <c r="B47" t="s">
        <v>41</v>
      </c>
      <c r="C47" t="s">
        <v>26</v>
      </c>
      <c r="D47">
        <v>10500</v>
      </c>
      <c r="E47">
        <v>1</v>
      </c>
      <c r="F47">
        <v>1</v>
      </c>
      <c r="G47" t="b">
        <v>1</v>
      </c>
      <c r="H47" t="b">
        <v>1</v>
      </c>
      <c r="I47" t="b">
        <v>1</v>
      </c>
      <c r="J47" t="b">
        <v>0</v>
      </c>
      <c r="K47" t="s">
        <v>30</v>
      </c>
      <c r="L47">
        <v>8.5</v>
      </c>
      <c r="M47">
        <v>2</v>
      </c>
      <c r="N47">
        <v>5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  <c r="W47" t="b">
        <v>0</v>
      </c>
      <c r="X47" t="b">
        <v>1</v>
      </c>
      <c r="Y47" t="b">
        <f t="shared" si="0"/>
        <v>1</v>
      </c>
      <c r="Z47" t="str">
        <f t="shared" si="1"/>
        <v>1-3層</v>
      </c>
      <c r="AA47" t="b">
        <f t="shared" si="2"/>
        <v>0</v>
      </c>
      <c r="AB47" t="b">
        <f>IF($D47&gt;=VLOOKUP($B47,各行政區平均值!$A:$B,2,0)*1.5,TRUE,FALSE)</f>
        <v>0</v>
      </c>
      <c r="AC47" t="b">
        <f t="shared" si="3"/>
        <v>0</v>
      </c>
    </row>
    <row r="48" spans="1:29" x14ac:dyDescent="0.25">
      <c r="A48" t="s">
        <v>24</v>
      </c>
      <c r="B48" t="s">
        <v>42</v>
      </c>
      <c r="C48" t="s">
        <v>75</v>
      </c>
      <c r="D48">
        <v>23000</v>
      </c>
      <c r="E48">
        <v>2</v>
      </c>
      <c r="F48">
        <v>1</v>
      </c>
      <c r="G48" t="b">
        <v>1</v>
      </c>
      <c r="H48" t="b">
        <v>0</v>
      </c>
      <c r="I48" t="b">
        <v>0</v>
      </c>
      <c r="J48" t="b">
        <v>0</v>
      </c>
      <c r="K48" t="s">
        <v>30</v>
      </c>
      <c r="L48">
        <v>21</v>
      </c>
      <c r="M48">
        <v>4</v>
      </c>
      <c r="N48">
        <v>5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0</v>
      </c>
      <c r="V48" t="b">
        <v>0</v>
      </c>
      <c r="W48" t="b">
        <v>0</v>
      </c>
      <c r="X48" t="b">
        <v>1</v>
      </c>
      <c r="Y48" t="b">
        <f t="shared" si="0"/>
        <v>1</v>
      </c>
      <c r="Z48" t="str">
        <f t="shared" si="1"/>
        <v>4-8層</v>
      </c>
      <c r="AA48" t="b">
        <f t="shared" si="2"/>
        <v>0</v>
      </c>
      <c r="AB48" t="b">
        <f>IF($D48&gt;=VLOOKUP($B48,各行政區平均值!$A:$B,2,0)*1.5,TRUE,FALSE)</f>
        <v>1</v>
      </c>
      <c r="AC48" t="b">
        <f t="shared" si="3"/>
        <v>0</v>
      </c>
    </row>
    <row r="49" spans="1:29" x14ac:dyDescent="0.25">
      <c r="A49" t="s">
        <v>24</v>
      </c>
      <c r="B49" t="s">
        <v>43</v>
      </c>
      <c r="C49" t="s">
        <v>73</v>
      </c>
      <c r="D49">
        <v>8800</v>
      </c>
      <c r="E49">
        <v>1</v>
      </c>
      <c r="F49">
        <v>1</v>
      </c>
      <c r="G49" t="b">
        <v>1</v>
      </c>
      <c r="H49" t="b">
        <v>1</v>
      </c>
      <c r="I49" t="b">
        <v>0</v>
      </c>
      <c r="J49" t="b">
        <v>0</v>
      </c>
      <c r="K49" t="s">
        <v>27</v>
      </c>
      <c r="L49">
        <v>7</v>
      </c>
      <c r="M49">
        <v>5</v>
      </c>
      <c r="N49">
        <v>10</v>
      </c>
      <c r="O49" t="b">
        <v>1</v>
      </c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  <c r="W49" t="b">
        <v>1</v>
      </c>
      <c r="X49" t="b">
        <v>0</v>
      </c>
      <c r="Y49" t="b">
        <f t="shared" si="0"/>
        <v>0</v>
      </c>
      <c r="Z49" t="str">
        <f t="shared" si="1"/>
        <v>4-8層</v>
      </c>
      <c r="AA49" t="b">
        <f t="shared" si="2"/>
        <v>0</v>
      </c>
      <c r="AB49" t="b">
        <f>IF($D49&gt;=VLOOKUP($B49,各行政區平均值!$A:$B,2,0)*1.5,TRUE,FALSE)</f>
        <v>0</v>
      </c>
      <c r="AC49" t="b">
        <f t="shared" si="3"/>
        <v>0</v>
      </c>
    </row>
    <row r="50" spans="1:29" x14ac:dyDescent="0.25">
      <c r="A50" t="s">
        <v>24</v>
      </c>
      <c r="B50" t="s">
        <v>25</v>
      </c>
      <c r="C50" t="s">
        <v>74</v>
      </c>
      <c r="D50">
        <v>6700</v>
      </c>
      <c r="E50">
        <v>1</v>
      </c>
      <c r="F50">
        <v>0</v>
      </c>
      <c r="G50" t="b">
        <v>1</v>
      </c>
      <c r="H50" t="b">
        <v>0</v>
      </c>
      <c r="I50" t="b">
        <v>0</v>
      </c>
      <c r="J50" t="b">
        <v>1</v>
      </c>
      <c r="K50" t="s">
        <v>30</v>
      </c>
      <c r="L50">
        <v>5.5</v>
      </c>
      <c r="M50">
        <v>3</v>
      </c>
      <c r="N50">
        <v>5</v>
      </c>
      <c r="O50" t="b">
        <v>1</v>
      </c>
      <c r="P50" t="b">
        <v>0</v>
      </c>
      <c r="Q50" t="b">
        <v>0</v>
      </c>
      <c r="R50" t="b">
        <v>1</v>
      </c>
      <c r="S50" t="b">
        <v>1</v>
      </c>
      <c r="T50" t="b">
        <v>1</v>
      </c>
      <c r="U50" t="b">
        <v>1</v>
      </c>
      <c r="V50" t="b">
        <v>0</v>
      </c>
      <c r="W50" t="b">
        <v>0</v>
      </c>
      <c r="X50" t="b">
        <v>0</v>
      </c>
      <c r="Y50" t="b">
        <f t="shared" si="0"/>
        <v>0</v>
      </c>
      <c r="Z50" t="str">
        <f t="shared" si="1"/>
        <v>1-3層</v>
      </c>
      <c r="AA50" t="b">
        <f t="shared" si="2"/>
        <v>0</v>
      </c>
      <c r="AB50" t="b">
        <f>IF($D50&gt;=VLOOKUP($B50,各行政區平均值!$A:$B,2,0)*1.5,TRUE,FALSE)</f>
        <v>0</v>
      </c>
      <c r="AC50" t="b">
        <f t="shared" si="3"/>
        <v>0</v>
      </c>
    </row>
    <row r="51" spans="1:29" x14ac:dyDescent="0.25">
      <c r="A51" t="s">
        <v>24</v>
      </c>
      <c r="B51" t="s">
        <v>28</v>
      </c>
      <c r="C51" t="s">
        <v>29</v>
      </c>
      <c r="D51">
        <v>52000</v>
      </c>
      <c r="E51">
        <v>4</v>
      </c>
      <c r="F51">
        <v>3</v>
      </c>
      <c r="G51" t="b">
        <v>1</v>
      </c>
      <c r="H51" t="b">
        <v>0</v>
      </c>
      <c r="I51" t="b">
        <v>1</v>
      </c>
      <c r="J51" t="b">
        <v>0</v>
      </c>
      <c r="K51" t="s">
        <v>27</v>
      </c>
      <c r="L51">
        <v>45</v>
      </c>
      <c r="M51">
        <v>18</v>
      </c>
      <c r="N51">
        <v>25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0</v>
      </c>
      <c r="V51" t="b">
        <v>1</v>
      </c>
      <c r="W51" t="b">
        <v>1</v>
      </c>
      <c r="X51" t="b">
        <v>1</v>
      </c>
      <c r="Y51" t="b">
        <f t="shared" si="0"/>
        <v>1</v>
      </c>
      <c r="Z51" t="str">
        <f t="shared" si="1"/>
        <v>9層以上</v>
      </c>
      <c r="AA51" t="b">
        <f t="shared" si="2"/>
        <v>1</v>
      </c>
      <c r="AB51" t="b">
        <f>IF($D51&gt;=VLOOKUP($B51,各行政區平均值!$A:$B,2,0)*1.5,TRUE,FALSE)</f>
        <v>0</v>
      </c>
      <c r="AC51" t="b">
        <f t="shared" si="3"/>
        <v>0</v>
      </c>
    </row>
    <row r="52" spans="1:29" x14ac:dyDescent="0.25">
      <c r="A52" t="s">
        <v>24</v>
      </c>
      <c r="B52" t="s">
        <v>31</v>
      </c>
      <c r="C52" t="s">
        <v>76</v>
      </c>
      <c r="D52">
        <v>14500</v>
      </c>
      <c r="E52">
        <v>1</v>
      </c>
      <c r="F52">
        <v>1</v>
      </c>
      <c r="G52" t="b">
        <v>1</v>
      </c>
      <c r="H52" t="b">
        <v>1</v>
      </c>
      <c r="I52" t="b">
        <v>0</v>
      </c>
      <c r="J52" t="b">
        <v>0</v>
      </c>
      <c r="K52" t="s">
        <v>27</v>
      </c>
      <c r="L52">
        <v>10.5</v>
      </c>
      <c r="M52">
        <v>7</v>
      </c>
      <c r="N52">
        <v>11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0</v>
      </c>
      <c r="W52" t="b">
        <v>1</v>
      </c>
      <c r="X52" t="b">
        <v>1</v>
      </c>
      <c r="Y52" t="b">
        <f t="shared" si="0"/>
        <v>1</v>
      </c>
      <c r="Z52" t="str">
        <f t="shared" si="1"/>
        <v>4-8層</v>
      </c>
      <c r="AA52" t="b">
        <f t="shared" si="2"/>
        <v>0</v>
      </c>
      <c r="AB52" t="b">
        <f>IF($D52&gt;=VLOOKUP($B52,各行政區平均值!$A:$B,2,0)*1.5,TRUE,FALSE)</f>
        <v>0</v>
      </c>
      <c r="AC52" t="b">
        <f t="shared" si="3"/>
        <v>0</v>
      </c>
    </row>
    <row r="53" spans="1:29" x14ac:dyDescent="0.25">
      <c r="A53" t="s">
        <v>24</v>
      </c>
      <c r="B53" t="s">
        <v>33</v>
      </c>
      <c r="C53" t="s">
        <v>32</v>
      </c>
      <c r="D53">
        <v>9800</v>
      </c>
      <c r="E53">
        <v>1</v>
      </c>
      <c r="F53">
        <v>1</v>
      </c>
      <c r="G53" t="b">
        <v>1</v>
      </c>
      <c r="H53" t="b">
        <v>0</v>
      </c>
      <c r="I53" t="b">
        <v>1</v>
      </c>
      <c r="J53" t="b">
        <v>1</v>
      </c>
      <c r="K53" t="s">
        <v>27</v>
      </c>
      <c r="L53">
        <v>8</v>
      </c>
      <c r="M53">
        <v>4</v>
      </c>
      <c r="N53">
        <v>7</v>
      </c>
      <c r="O53" t="b">
        <v>1</v>
      </c>
      <c r="P53" t="b">
        <v>0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  <c r="W53" t="b">
        <v>1</v>
      </c>
      <c r="X53" t="b">
        <v>0</v>
      </c>
      <c r="Y53" t="b">
        <f t="shared" si="0"/>
        <v>0</v>
      </c>
      <c r="Z53" t="str">
        <f t="shared" si="1"/>
        <v>4-8層</v>
      </c>
      <c r="AA53" t="b">
        <f t="shared" si="2"/>
        <v>0</v>
      </c>
      <c r="AB53" t="b">
        <f>IF($D53&gt;=VLOOKUP($B53,各行政區平均值!$A:$B,2,0)*1.5,TRUE,FALSE)</f>
        <v>0</v>
      </c>
      <c r="AC53" t="b">
        <f t="shared" si="3"/>
        <v>0</v>
      </c>
    </row>
    <row r="54" spans="1:29" x14ac:dyDescent="0.25">
      <c r="A54" t="s">
        <v>24</v>
      </c>
      <c r="B54" t="s">
        <v>35</v>
      </c>
      <c r="C54" t="s">
        <v>34</v>
      </c>
      <c r="D54">
        <v>5400</v>
      </c>
      <c r="E54">
        <v>1</v>
      </c>
      <c r="F54">
        <v>0</v>
      </c>
      <c r="G54" t="b">
        <v>1</v>
      </c>
      <c r="H54" t="b">
        <v>1</v>
      </c>
      <c r="I54" t="b">
        <v>0</v>
      </c>
      <c r="J54" t="b">
        <v>0</v>
      </c>
      <c r="K54" t="s">
        <v>30</v>
      </c>
      <c r="L54">
        <v>4.5999999999999996</v>
      </c>
      <c r="M54">
        <v>2</v>
      </c>
      <c r="N54">
        <v>4</v>
      </c>
      <c r="O54" t="b">
        <v>1</v>
      </c>
      <c r="P54" t="b">
        <v>0</v>
      </c>
      <c r="Q54" t="b">
        <v>0</v>
      </c>
      <c r="R54" t="b">
        <v>1</v>
      </c>
      <c r="S54" t="b">
        <v>1</v>
      </c>
      <c r="T54" t="b">
        <v>1</v>
      </c>
      <c r="U54" t="b">
        <v>1</v>
      </c>
      <c r="V54" t="b">
        <v>0</v>
      </c>
      <c r="W54" t="b">
        <v>0</v>
      </c>
      <c r="X54" t="b">
        <v>0</v>
      </c>
      <c r="Y54" t="b">
        <f t="shared" si="0"/>
        <v>0</v>
      </c>
      <c r="Z54" t="str">
        <f t="shared" si="1"/>
        <v>1-3層</v>
      </c>
      <c r="AA54" t="b">
        <f t="shared" si="2"/>
        <v>0</v>
      </c>
      <c r="AB54" t="b">
        <f>IF($D54&gt;=VLOOKUP($B54,各行政區平均值!$A:$B,2,0)*1.5,TRUE,FALSE)</f>
        <v>0</v>
      </c>
      <c r="AC54" t="b">
        <f t="shared" si="3"/>
        <v>0</v>
      </c>
    </row>
    <row r="55" spans="1:29" x14ac:dyDescent="0.25">
      <c r="A55" t="s">
        <v>24</v>
      </c>
      <c r="B55" t="s">
        <v>36</v>
      </c>
      <c r="C55" t="s">
        <v>29</v>
      </c>
      <c r="D55">
        <v>36000</v>
      </c>
      <c r="E55">
        <v>3</v>
      </c>
      <c r="F55">
        <v>2</v>
      </c>
      <c r="G55" t="b">
        <v>0</v>
      </c>
      <c r="H55" t="b">
        <v>0</v>
      </c>
      <c r="I55" t="b">
        <v>1</v>
      </c>
      <c r="J55" t="b">
        <v>0</v>
      </c>
      <c r="K55" t="s">
        <v>27</v>
      </c>
      <c r="L55">
        <v>31</v>
      </c>
      <c r="M55">
        <v>6</v>
      </c>
      <c r="N55">
        <v>12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0</v>
      </c>
      <c r="V55" t="b">
        <v>1</v>
      </c>
      <c r="W55" t="b">
        <v>1</v>
      </c>
      <c r="X55" t="b">
        <v>1</v>
      </c>
      <c r="Y55" t="b">
        <f t="shared" si="0"/>
        <v>1</v>
      </c>
      <c r="Z55" t="str">
        <f t="shared" si="1"/>
        <v>4-8層</v>
      </c>
      <c r="AA55" t="b">
        <f t="shared" si="2"/>
        <v>1</v>
      </c>
      <c r="AB55" t="b">
        <f>IF($D55&gt;=VLOOKUP($B55,各行政區平均值!$A:$B,2,0)*1.5,TRUE,FALSE)</f>
        <v>0</v>
      </c>
      <c r="AC55" t="b">
        <f t="shared" si="3"/>
        <v>0</v>
      </c>
    </row>
    <row r="56" spans="1:29" x14ac:dyDescent="0.25">
      <c r="A56" t="s">
        <v>24</v>
      </c>
      <c r="B56" t="s">
        <v>37</v>
      </c>
      <c r="C56" t="s">
        <v>26</v>
      </c>
      <c r="D56">
        <v>11500</v>
      </c>
      <c r="E56">
        <v>1</v>
      </c>
      <c r="F56">
        <v>1</v>
      </c>
      <c r="G56" t="b">
        <v>1</v>
      </c>
      <c r="H56" t="b">
        <v>1</v>
      </c>
      <c r="I56" t="b">
        <v>0</v>
      </c>
      <c r="J56" t="b">
        <v>0</v>
      </c>
      <c r="K56" t="s">
        <v>30</v>
      </c>
      <c r="L56">
        <v>9.8000000000000007</v>
      </c>
      <c r="M56">
        <v>3</v>
      </c>
      <c r="N56">
        <v>5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0</v>
      </c>
      <c r="W56" t="b">
        <v>0</v>
      </c>
      <c r="X56" t="b">
        <v>1</v>
      </c>
      <c r="Y56" t="b">
        <f t="shared" si="0"/>
        <v>1</v>
      </c>
      <c r="Z56" t="str">
        <f t="shared" si="1"/>
        <v>1-3層</v>
      </c>
      <c r="AA56" t="b">
        <f t="shared" si="2"/>
        <v>0</v>
      </c>
      <c r="AB56" t="b">
        <f>IF($D56&gt;=VLOOKUP($B56,各行政區平均值!$A:$B,2,0)*1.5,TRUE,FALSE)</f>
        <v>0</v>
      </c>
      <c r="AC56" t="b">
        <f t="shared" si="3"/>
        <v>0</v>
      </c>
    </row>
    <row r="57" spans="1:29" x14ac:dyDescent="0.25">
      <c r="A57" t="s">
        <v>24</v>
      </c>
      <c r="B57" t="s">
        <v>39</v>
      </c>
      <c r="C57" t="s">
        <v>32</v>
      </c>
      <c r="D57">
        <v>7600</v>
      </c>
      <c r="E57">
        <v>1</v>
      </c>
      <c r="F57">
        <v>1</v>
      </c>
      <c r="G57" t="b">
        <v>0</v>
      </c>
      <c r="H57" t="b">
        <v>0</v>
      </c>
      <c r="I57" t="b">
        <v>0</v>
      </c>
      <c r="J57" t="b">
        <v>0</v>
      </c>
      <c r="K57" t="s">
        <v>30</v>
      </c>
      <c r="L57">
        <v>6.3</v>
      </c>
      <c r="M57">
        <v>4</v>
      </c>
      <c r="N57">
        <v>5</v>
      </c>
      <c r="O57" t="b">
        <v>1</v>
      </c>
      <c r="P57" t="b">
        <v>0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  <c r="W57" t="b">
        <v>0</v>
      </c>
      <c r="X57" t="b">
        <v>0</v>
      </c>
      <c r="Y57" t="b">
        <f t="shared" si="0"/>
        <v>0</v>
      </c>
      <c r="Z57" t="str">
        <f t="shared" si="1"/>
        <v>4-8層</v>
      </c>
      <c r="AA57" t="b">
        <f t="shared" si="2"/>
        <v>0</v>
      </c>
      <c r="AB57" t="b">
        <f>IF($D57&gt;=VLOOKUP($B57,各行政區平均值!$A:$B,2,0)*1.5,TRUE,FALSE)</f>
        <v>0</v>
      </c>
      <c r="AC57" t="b">
        <f t="shared" si="3"/>
        <v>0</v>
      </c>
    </row>
    <row r="58" spans="1:29" x14ac:dyDescent="0.25">
      <c r="A58" t="s">
        <v>24</v>
      </c>
      <c r="B58" t="s">
        <v>40</v>
      </c>
      <c r="C58" t="s">
        <v>34</v>
      </c>
      <c r="D58">
        <v>4700</v>
      </c>
      <c r="E58">
        <v>1</v>
      </c>
      <c r="F58">
        <v>0</v>
      </c>
      <c r="G58" t="b">
        <v>1</v>
      </c>
      <c r="H58" t="b">
        <v>1</v>
      </c>
      <c r="I58" t="b">
        <v>1</v>
      </c>
      <c r="J58" t="b">
        <v>1</v>
      </c>
      <c r="K58" t="s">
        <v>30</v>
      </c>
      <c r="L58">
        <v>3.7</v>
      </c>
      <c r="M58">
        <v>1</v>
      </c>
      <c r="N58">
        <v>4</v>
      </c>
      <c r="O58" t="b">
        <v>0</v>
      </c>
      <c r="P58" t="b">
        <v>0</v>
      </c>
      <c r="Q58" t="b">
        <v>0</v>
      </c>
      <c r="R58" t="b">
        <v>1</v>
      </c>
      <c r="S58" t="b">
        <v>1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f t="shared" si="0"/>
        <v>0</v>
      </c>
      <c r="Z58" t="str">
        <f t="shared" si="1"/>
        <v>1-3層</v>
      </c>
      <c r="AA58" t="b">
        <f t="shared" si="2"/>
        <v>0</v>
      </c>
      <c r="AB58" t="b">
        <f>IF($D58&gt;=VLOOKUP($B58,各行政區平均值!$A:$B,2,0)*1.5,TRUE,FALSE)</f>
        <v>0</v>
      </c>
      <c r="AC58" t="b">
        <f t="shared" si="3"/>
        <v>0</v>
      </c>
    </row>
    <row r="59" spans="1:29" x14ac:dyDescent="0.25">
      <c r="A59" t="s">
        <v>24</v>
      </c>
      <c r="B59" t="s">
        <v>41</v>
      </c>
      <c r="C59" t="s">
        <v>29</v>
      </c>
      <c r="D59">
        <v>19500</v>
      </c>
      <c r="E59">
        <v>1</v>
      </c>
      <c r="F59">
        <v>1</v>
      </c>
      <c r="G59" t="b">
        <v>1</v>
      </c>
      <c r="H59" t="b">
        <v>0</v>
      </c>
      <c r="I59" t="b">
        <v>0</v>
      </c>
      <c r="J59" t="b">
        <v>0</v>
      </c>
      <c r="K59" t="s">
        <v>30</v>
      </c>
      <c r="L59">
        <v>16</v>
      </c>
      <c r="M59">
        <v>2</v>
      </c>
      <c r="N59">
        <v>5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0</v>
      </c>
      <c r="V59" t="b">
        <v>0</v>
      </c>
      <c r="W59" t="b">
        <v>0</v>
      </c>
      <c r="X59" t="b">
        <v>1</v>
      </c>
      <c r="Y59" t="b">
        <f t="shared" si="0"/>
        <v>1</v>
      </c>
      <c r="Z59" t="str">
        <f t="shared" si="1"/>
        <v>1-3層</v>
      </c>
      <c r="AA59" t="b">
        <f t="shared" si="2"/>
        <v>0</v>
      </c>
      <c r="AB59" t="b">
        <f>IF($D59&gt;=VLOOKUP($B59,各行政區平均值!$A:$B,2,0)*1.5,TRUE,FALSE)</f>
        <v>0</v>
      </c>
      <c r="AC59" t="b">
        <f t="shared" si="3"/>
        <v>0</v>
      </c>
    </row>
    <row r="60" spans="1:29" x14ac:dyDescent="0.25">
      <c r="A60" t="s">
        <v>24</v>
      </c>
      <c r="B60" t="s">
        <v>42</v>
      </c>
      <c r="C60" t="s">
        <v>26</v>
      </c>
      <c r="D60">
        <v>12800</v>
      </c>
      <c r="E60">
        <v>1</v>
      </c>
      <c r="F60">
        <v>1</v>
      </c>
      <c r="G60" t="b">
        <v>1</v>
      </c>
      <c r="H60" t="b">
        <v>1</v>
      </c>
      <c r="I60" t="b">
        <v>0</v>
      </c>
      <c r="J60" t="b">
        <v>0</v>
      </c>
      <c r="K60" t="s">
        <v>27</v>
      </c>
      <c r="L60">
        <v>9</v>
      </c>
      <c r="M60">
        <v>5</v>
      </c>
      <c r="N60">
        <v>8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0</v>
      </c>
      <c r="W60" t="b">
        <v>1</v>
      </c>
      <c r="X60" t="b">
        <v>1</v>
      </c>
      <c r="Y60" t="b">
        <f t="shared" si="0"/>
        <v>1</v>
      </c>
      <c r="Z60" t="str">
        <f t="shared" si="1"/>
        <v>4-8層</v>
      </c>
      <c r="AA60" t="b">
        <f t="shared" si="2"/>
        <v>0</v>
      </c>
      <c r="AB60" t="b">
        <f>IF($D60&gt;=VLOOKUP($B60,各行政區平均值!$A:$B,2,0)*1.5,TRUE,FALSE)</f>
        <v>0</v>
      </c>
      <c r="AC60" t="b">
        <f t="shared" si="3"/>
        <v>0</v>
      </c>
    </row>
    <row r="61" spans="1:29" x14ac:dyDescent="0.25">
      <c r="A61" t="s">
        <v>24</v>
      </c>
      <c r="B61" t="s">
        <v>43</v>
      </c>
      <c r="C61" t="s">
        <v>32</v>
      </c>
      <c r="D61">
        <v>8100</v>
      </c>
      <c r="E61">
        <v>1</v>
      </c>
      <c r="F61">
        <v>1</v>
      </c>
      <c r="G61" t="b">
        <v>1</v>
      </c>
      <c r="H61" t="b">
        <v>0</v>
      </c>
      <c r="I61" t="b">
        <v>0</v>
      </c>
      <c r="J61" t="b">
        <v>1</v>
      </c>
      <c r="K61" t="s">
        <v>30</v>
      </c>
      <c r="L61">
        <v>6.5</v>
      </c>
      <c r="M61">
        <v>3</v>
      </c>
      <c r="N61">
        <v>5</v>
      </c>
      <c r="O61" t="b">
        <v>1</v>
      </c>
      <c r="P61" t="b">
        <v>0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0</v>
      </c>
      <c r="W61" t="b">
        <v>0</v>
      </c>
      <c r="X61" t="b">
        <v>0</v>
      </c>
      <c r="Y61" t="b">
        <f t="shared" si="0"/>
        <v>0</v>
      </c>
      <c r="Z61" t="str">
        <f t="shared" si="1"/>
        <v>1-3層</v>
      </c>
      <c r="AA61" t="b">
        <f t="shared" si="2"/>
        <v>0</v>
      </c>
      <c r="AB61" t="b">
        <f>IF($D61&gt;=VLOOKUP($B61,各行政區平均值!$A:$B,2,0)*1.5,TRUE,FALSE)</f>
        <v>0</v>
      </c>
      <c r="AC61" t="b">
        <f t="shared" si="3"/>
        <v>0</v>
      </c>
    </row>
    <row r="62" spans="1:29" x14ac:dyDescent="0.25">
      <c r="A62" t="s">
        <v>24</v>
      </c>
      <c r="B62" t="s">
        <v>25</v>
      </c>
      <c r="C62" t="s">
        <v>34</v>
      </c>
      <c r="D62">
        <v>7100</v>
      </c>
      <c r="E62">
        <v>1</v>
      </c>
      <c r="F62">
        <v>0</v>
      </c>
      <c r="G62" t="b">
        <v>1</v>
      </c>
      <c r="H62" t="b">
        <v>1</v>
      </c>
      <c r="I62" t="b">
        <v>0</v>
      </c>
      <c r="J62" t="b">
        <v>0</v>
      </c>
      <c r="K62" t="s">
        <v>30</v>
      </c>
      <c r="L62">
        <v>5.8</v>
      </c>
      <c r="M62">
        <v>4</v>
      </c>
      <c r="N62">
        <v>5</v>
      </c>
      <c r="O62" t="b">
        <v>1</v>
      </c>
      <c r="P62" t="b">
        <v>0</v>
      </c>
      <c r="Q62" t="b">
        <v>0</v>
      </c>
      <c r="R62" t="b">
        <v>1</v>
      </c>
      <c r="S62" t="b">
        <v>1</v>
      </c>
      <c r="T62" t="b">
        <v>1</v>
      </c>
      <c r="U62" t="b">
        <v>1</v>
      </c>
      <c r="V62" t="b">
        <v>0</v>
      </c>
      <c r="W62" t="b">
        <v>0</v>
      </c>
      <c r="X62" t="b">
        <v>0</v>
      </c>
      <c r="Y62" t="b">
        <f t="shared" si="0"/>
        <v>0</v>
      </c>
      <c r="Z62" t="str">
        <f t="shared" si="1"/>
        <v>4-8層</v>
      </c>
      <c r="AA62" t="b">
        <f t="shared" si="2"/>
        <v>0</v>
      </c>
      <c r="AB62" t="b">
        <f>IF($D62&gt;=VLOOKUP($B62,各行政區平均值!$A:$B,2,0)*1.5,TRUE,FALSE)</f>
        <v>0</v>
      </c>
      <c r="AC62" t="b">
        <f t="shared" si="3"/>
        <v>0</v>
      </c>
    </row>
    <row r="63" spans="1:29" x14ac:dyDescent="0.25">
      <c r="A63" t="s">
        <v>24</v>
      </c>
      <c r="B63" t="s">
        <v>28</v>
      </c>
      <c r="C63" t="s">
        <v>29</v>
      </c>
      <c r="D63">
        <v>58000</v>
      </c>
      <c r="E63">
        <v>5</v>
      </c>
      <c r="F63">
        <v>3</v>
      </c>
      <c r="G63" t="b">
        <v>1</v>
      </c>
      <c r="H63" t="b">
        <v>0</v>
      </c>
      <c r="I63" t="b">
        <v>1</v>
      </c>
      <c r="J63" t="b">
        <v>0</v>
      </c>
      <c r="K63" t="s">
        <v>27</v>
      </c>
      <c r="L63">
        <v>50</v>
      </c>
      <c r="M63">
        <v>20</v>
      </c>
      <c r="N63">
        <v>25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0</v>
      </c>
      <c r="V63" t="b">
        <v>1</v>
      </c>
      <c r="W63" t="b">
        <v>1</v>
      </c>
      <c r="X63" t="b">
        <v>1</v>
      </c>
      <c r="Y63" t="b">
        <f t="shared" si="0"/>
        <v>1</v>
      </c>
      <c r="Z63" t="str">
        <f t="shared" si="1"/>
        <v>9層以上</v>
      </c>
      <c r="AA63" t="b">
        <f t="shared" si="2"/>
        <v>1</v>
      </c>
      <c r="AB63" t="b">
        <f>IF($D63&gt;=VLOOKUP($B63,各行政區平均值!$A:$B,2,0)*1.5,TRUE,FALSE)</f>
        <v>0</v>
      </c>
      <c r="AC63" t="b">
        <f t="shared" si="3"/>
        <v>0</v>
      </c>
    </row>
    <row r="64" spans="1:29" x14ac:dyDescent="0.25">
      <c r="A64" t="s">
        <v>24</v>
      </c>
      <c r="B64" t="s">
        <v>31</v>
      </c>
      <c r="C64" t="s">
        <v>26</v>
      </c>
      <c r="D64">
        <v>15500</v>
      </c>
      <c r="E64">
        <v>1</v>
      </c>
      <c r="F64">
        <v>1</v>
      </c>
      <c r="G64" t="b">
        <v>1</v>
      </c>
      <c r="H64" t="b">
        <v>1</v>
      </c>
      <c r="I64" t="b">
        <v>1</v>
      </c>
      <c r="J64" t="b">
        <v>0</v>
      </c>
      <c r="K64" t="s">
        <v>27</v>
      </c>
      <c r="L64">
        <v>11.5</v>
      </c>
      <c r="M64">
        <v>9</v>
      </c>
      <c r="N64">
        <v>13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0</v>
      </c>
      <c r="W64" t="b">
        <v>1</v>
      </c>
      <c r="X64" t="b">
        <v>1</v>
      </c>
      <c r="Y64" t="b">
        <f t="shared" si="0"/>
        <v>1</v>
      </c>
      <c r="Z64" t="str">
        <f t="shared" si="1"/>
        <v>9層以上</v>
      </c>
      <c r="AA64" t="b">
        <f t="shared" si="2"/>
        <v>0</v>
      </c>
      <c r="AB64" t="b">
        <f>IF($D64&gt;=VLOOKUP($B64,各行政區平均值!$A:$B,2,0)*1.5,TRUE,FALSE)</f>
        <v>0</v>
      </c>
      <c r="AC64" t="b">
        <f t="shared" si="3"/>
        <v>0</v>
      </c>
    </row>
    <row r="65" spans="1:29" x14ac:dyDescent="0.25">
      <c r="A65" t="s">
        <v>24</v>
      </c>
      <c r="B65" t="s">
        <v>33</v>
      </c>
      <c r="C65" t="s">
        <v>32</v>
      </c>
      <c r="D65">
        <v>10500</v>
      </c>
      <c r="E65">
        <v>1</v>
      </c>
      <c r="F65">
        <v>1</v>
      </c>
      <c r="G65" t="b">
        <v>1</v>
      </c>
      <c r="H65" t="b">
        <v>0</v>
      </c>
      <c r="I65" t="b">
        <v>0</v>
      </c>
      <c r="J65" t="b">
        <v>1</v>
      </c>
      <c r="K65" t="s">
        <v>27</v>
      </c>
      <c r="L65">
        <v>8.5</v>
      </c>
      <c r="M65">
        <v>5</v>
      </c>
      <c r="N65">
        <v>8</v>
      </c>
      <c r="O65" t="b">
        <v>1</v>
      </c>
      <c r="P65" t="b">
        <v>0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0</v>
      </c>
      <c r="W65" t="b">
        <v>1</v>
      </c>
      <c r="X65" t="b">
        <v>0</v>
      </c>
      <c r="Y65" t="b">
        <f t="shared" si="0"/>
        <v>0</v>
      </c>
      <c r="Z65" t="str">
        <f t="shared" si="1"/>
        <v>4-8層</v>
      </c>
      <c r="AA65" t="b">
        <f t="shared" si="2"/>
        <v>0</v>
      </c>
      <c r="AB65" t="b">
        <f>IF($D65&gt;=VLOOKUP($B65,各行政區平均值!$A:$B,2,0)*1.5,TRUE,FALSE)</f>
        <v>0</v>
      </c>
      <c r="AC65" t="b">
        <f t="shared" si="3"/>
        <v>0</v>
      </c>
    </row>
    <row r="66" spans="1:29" x14ac:dyDescent="0.25">
      <c r="A66" t="s">
        <v>24</v>
      </c>
      <c r="B66" t="s">
        <v>35</v>
      </c>
      <c r="C66" t="s">
        <v>34</v>
      </c>
      <c r="D66">
        <v>5900</v>
      </c>
      <c r="E66">
        <v>1</v>
      </c>
      <c r="F66">
        <v>0</v>
      </c>
      <c r="G66" t="b">
        <v>1</v>
      </c>
      <c r="H66" t="b">
        <v>1</v>
      </c>
      <c r="I66" t="b">
        <v>0</v>
      </c>
      <c r="J66" t="b">
        <v>0</v>
      </c>
      <c r="K66" t="s">
        <v>30</v>
      </c>
      <c r="L66">
        <v>4.9000000000000004</v>
      </c>
      <c r="M66">
        <v>2</v>
      </c>
      <c r="N66">
        <v>4</v>
      </c>
      <c r="O66" t="b">
        <v>1</v>
      </c>
      <c r="P66" t="b">
        <v>0</v>
      </c>
      <c r="Q66" t="b">
        <v>0</v>
      </c>
      <c r="R66" t="b">
        <v>1</v>
      </c>
      <c r="S66" t="b">
        <v>1</v>
      </c>
      <c r="T66" t="b">
        <v>1</v>
      </c>
      <c r="U66" t="b">
        <v>1</v>
      </c>
      <c r="V66" t="b">
        <v>0</v>
      </c>
      <c r="W66" t="b">
        <v>0</v>
      </c>
      <c r="X66" t="b">
        <v>0</v>
      </c>
      <c r="Y66" t="b">
        <f t="shared" si="0"/>
        <v>0</v>
      </c>
      <c r="Z66" t="str">
        <f t="shared" si="1"/>
        <v>1-3層</v>
      </c>
      <c r="AA66" t="b">
        <f t="shared" si="2"/>
        <v>0</v>
      </c>
      <c r="AB66" t="b">
        <f>IF($D66&gt;=VLOOKUP($B66,各行政區平均值!$A:$B,2,0)*1.5,TRUE,FALSE)</f>
        <v>0</v>
      </c>
      <c r="AC66" t="b">
        <f t="shared" si="3"/>
        <v>0</v>
      </c>
    </row>
    <row r="67" spans="1:29" x14ac:dyDescent="0.25">
      <c r="A67" t="s">
        <v>24</v>
      </c>
      <c r="B67" t="s">
        <v>36</v>
      </c>
      <c r="C67" t="s">
        <v>29</v>
      </c>
      <c r="D67">
        <v>40000</v>
      </c>
      <c r="E67">
        <v>4</v>
      </c>
      <c r="F67">
        <v>2</v>
      </c>
      <c r="G67" t="b">
        <v>0</v>
      </c>
      <c r="H67" t="b">
        <v>0</v>
      </c>
      <c r="I67" t="b">
        <v>1</v>
      </c>
      <c r="J67" t="b">
        <v>0</v>
      </c>
      <c r="K67" t="s">
        <v>27</v>
      </c>
      <c r="L67">
        <v>35</v>
      </c>
      <c r="M67">
        <v>7</v>
      </c>
      <c r="N67">
        <v>12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0</v>
      </c>
      <c r="V67" t="b">
        <v>1</v>
      </c>
      <c r="W67" t="b">
        <v>1</v>
      </c>
      <c r="X67" t="b">
        <v>1</v>
      </c>
      <c r="Y67" t="b">
        <f t="shared" ref="Y67:Y97" si="4">IF((COUNTIF($O67:$R67,"FALSE")+COUNTIF($T67,"FALSE"))=0,TRUE,FALSE)</f>
        <v>1</v>
      </c>
      <c r="Z67" t="str">
        <f t="shared" ref="Z67:Z97" si="5">IF($M67&lt;4,"1-3層",IF($M67&lt;9,"4-8層","9層以上"))</f>
        <v>4-8層</v>
      </c>
      <c r="AA67" t="b">
        <f t="shared" ref="AA67:AA97" si="6">IF(COUNTIF($V67:$X67,FALSE)=0,TRUE,FALSE)</f>
        <v>1</v>
      </c>
      <c r="AB67" t="b">
        <f>IF($D67&gt;=VLOOKUP($B67,各行政區平均值!$A:$B,2,0)*1.5,TRUE,FALSE)</f>
        <v>0</v>
      </c>
      <c r="AC67" t="b">
        <f t="shared" ref="AC67:AC97" si="7">IF($AB67=TRUE,IF($AA67=TRUE,TRUE,FALSE),FALSE)</f>
        <v>0</v>
      </c>
    </row>
    <row r="68" spans="1:29" x14ac:dyDescent="0.25">
      <c r="A68" t="s">
        <v>24</v>
      </c>
      <c r="B68" t="s">
        <v>37</v>
      </c>
      <c r="C68" t="s">
        <v>26</v>
      </c>
      <c r="D68">
        <v>13500</v>
      </c>
      <c r="E68">
        <v>1</v>
      </c>
      <c r="F68">
        <v>1</v>
      </c>
      <c r="G68" t="b">
        <v>1</v>
      </c>
      <c r="H68" t="b">
        <v>1</v>
      </c>
      <c r="I68" t="b">
        <v>0</v>
      </c>
      <c r="J68" t="b">
        <v>0</v>
      </c>
      <c r="K68" t="s">
        <v>30</v>
      </c>
      <c r="L68">
        <v>10.199999999999999</v>
      </c>
      <c r="M68">
        <v>4</v>
      </c>
      <c r="N68">
        <v>5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0</v>
      </c>
      <c r="W68" t="b">
        <v>0</v>
      </c>
      <c r="X68" t="b">
        <v>1</v>
      </c>
      <c r="Y68" t="b">
        <f t="shared" si="4"/>
        <v>1</v>
      </c>
      <c r="Z68" t="str">
        <f t="shared" si="5"/>
        <v>4-8層</v>
      </c>
      <c r="AA68" t="b">
        <f t="shared" si="6"/>
        <v>0</v>
      </c>
      <c r="AB68" t="b">
        <f>IF($D68&gt;=VLOOKUP($B68,各行政區平均值!$A:$B,2,0)*1.5,TRUE,FALSE)</f>
        <v>0</v>
      </c>
      <c r="AC68" t="b">
        <f t="shared" si="7"/>
        <v>0</v>
      </c>
    </row>
    <row r="69" spans="1:29" x14ac:dyDescent="0.25">
      <c r="A69" t="s">
        <v>24</v>
      </c>
      <c r="B69" t="s">
        <v>39</v>
      </c>
      <c r="C69" t="s">
        <v>32</v>
      </c>
      <c r="D69">
        <v>7900</v>
      </c>
      <c r="E69">
        <v>1</v>
      </c>
      <c r="F69">
        <v>1</v>
      </c>
      <c r="G69" t="b">
        <v>0</v>
      </c>
      <c r="H69" t="b">
        <v>0</v>
      </c>
      <c r="I69" t="b">
        <v>1</v>
      </c>
      <c r="J69" t="b">
        <v>0</v>
      </c>
      <c r="K69" t="s">
        <v>30</v>
      </c>
      <c r="L69">
        <v>6</v>
      </c>
      <c r="M69">
        <v>3</v>
      </c>
      <c r="N69">
        <v>5</v>
      </c>
      <c r="O69" t="b">
        <v>1</v>
      </c>
      <c r="P69" t="b">
        <v>0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0</v>
      </c>
      <c r="W69" t="b">
        <v>0</v>
      </c>
      <c r="X69" t="b">
        <v>0</v>
      </c>
      <c r="Y69" t="b">
        <f t="shared" si="4"/>
        <v>0</v>
      </c>
      <c r="Z69" t="str">
        <f t="shared" si="5"/>
        <v>1-3層</v>
      </c>
      <c r="AA69" t="b">
        <f t="shared" si="6"/>
        <v>0</v>
      </c>
      <c r="AB69" t="b">
        <f>IF($D69&gt;=VLOOKUP($B69,各行政區平均值!$A:$B,2,0)*1.5,TRUE,FALSE)</f>
        <v>0</v>
      </c>
      <c r="AC69" t="b">
        <f t="shared" si="7"/>
        <v>0</v>
      </c>
    </row>
    <row r="70" spans="1:29" x14ac:dyDescent="0.25">
      <c r="A70" t="s">
        <v>24</v>
      </c>
      <c r="B70" t="s">
        <v>40</v>
      </c>
      <c r="C70" t="s">
        <v>34</v>
      </c>
      <c r="D70">
        <v>4600</v>
      </c>
      <c r="E70">
        <v>1</v>
      </c>
      <c r="F70">
        <v>0</v>
      </c>
      <c r="G70" t="b">
        <v>1</v>
      </c>
      <c r="H70" t="b">
        <v>1</v>
      </c>
      <c r="I70" t="b">
        <v>0</v>
      </c>
      <c r="J70" t="b">
        <v>1</v>
      </c>
      <c r="K70" t="s">
        <v>30</v>
      </c>
      <c r="L70">
        <v>3.5</v>
      </c>
      <c r="M70">
        <v>1</v>
      </c>
      <c r="N70">
        <v>4</v>
      </c>
      <c r="O70" t="b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f t="shared" si="4"/>
        <v>0</v>
      </c>
      <c r="Z70" t="str">
        <f t="shared" si="5"/>
        <v>1-3層</v>
      </c>
      <c r="AA70" t="b">
        <f t="shared" si="6"/>
        <v>0</v>
      </c>
      <c r="AB70" t="b">
        <f>IF($D70&gt;=VLOOKUP($B70,各行政區平均值!$A:$B,2,0)*1.5,TRUE,FALSE)</f>
        <v>0</v>
      </c>
      <c r="AC70" t="b">
        <f t="shared" si="7"/>
        <v>0</v>
      </c>
    </row>
    <row r="71" spans="1:29" x14ac:dyDescent="0.25">
      <c r="A71" t="s">
        <v>24</v>
      </c>
      <c r="B71" t="s">
        <v>41</v>
      </c>
      <c r="C71" t="s">
        <v>29</v>
      </c>
      <c r="D71">
        <v>21000</v>
      </c>
      <c r="E71">
        <v>2</v>
      </c>
      <c r="F71">
        <v>1</v>
      </c>
      <c r="G71" t="b">
        <v>1</v>
      </c>
      <c r="H71" t="b">
        <v>0</v>
      </c>
      <c r="I71" t="b">
        <v>0</v>
      </c>
      <c r="J71" t="b">
        <v>0</v>
      </c>
      <c r="K71" t="s">
        <v>30</v>
      </c>
      <c r="L71">
        <v>18</v>
      </c>
      <c r="M71">
        <v>3</v>
      </c>
      <c r="N71">
        <v>5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0</v>
      </c>
      <c r="V71" t="b">
        <v>0</v>
      </c>
      <c r="W71" t="b">
        <v>0</v>
      </c>
      <c r="X71" t="b">
        <v>1</v>
      </c>
      <c r="Y71" t="b">
        <f t="shared" si="4"/>
        <v>1</v>
      </c>
      <c r="Z71" t="str">
        <f t="shared" si="5"/>
        <v>1-3層</v>
      </c>
      <c r="AA71" t="b">
        <f t="shared" si="6"/>
        <v>0</v>
      </c>
      <c r="AB71" t="b">
        <f>IF($D71&gt;=VLOOKUP($B71,各行政區平均值!$A:$B,2,0)*1.5,TRUE,FALSE)</f>
        <v>0</v>
      </c>
      <c r="AC71" t="b">
        <f t="shared" si="7"/>
        <v>0</v>
      </c>
    </row>
    <row r="72" spans="1:29" x14ac:dyDescent="0.25">
      <c r="A72" t="s">
        <v>24</v>
      </c>
      <c r="B72" t="s">
        <v>42</v>
      </c>
      <c r="C72" t="s">
        <v>26</v>
      </c>
      <c r="D72">
        <v>14200</v>
      </c>
      <c r="E72">
        <v>1</v>
      </c>
      <c r="F72">
        <v>1</v>
      </c>
      <c r="G72" t="b">
        <v>1</v>
      </c>
      <c r="H72" t="b">
        <v>1</v>
      </c>
      <c r="I72" t="b">
        <v>1</v>
      </c>
      <c r="J72" t="b">
        <v>0</v>
      </c>
      <c r="K72" t="s">
        <v>27</v>
      </c>
      <c r="L72">
        <v>10.8</v>
      </c>
      <c r="M72">
        <v>6</v>
      </c>
      <c r="N72">
        <v>10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0</v>
      </c>
      <c r="W72" t="b">
        <v>1</v>
      </c>
      <c r="X72" t="b">
        <v>1</v>
      </c>
      <c r="Y72" t="b">
        <f t="shared" si="4"/>
        <v>1</v>
      </c>
      <c r="Z72" t="str">
        <f t="shared" si="5"/>
        <v>4-8層</v>
      </c>
      <c r="AA72" t="b">
        <f t="shared" si="6"/>
        <v>0</v>
      </c>
      <c r="AB72" t="b">
        <f>IF($D72&gt;=VLOOKUP($B72,各行政區平均值!$A:$B,2,0)*1.5,TRUE,FALSE)</f>
        <v>0</v>
      </c>
      <c r="AC72" t="b">
        <f t="shared" si="7"/>
        <v>0</v>
      </c>
    </row>
    <row r="73" spans="1:29" x14ac:dyDescent="0.25">
      <c r="A73" t="s">
        <v>24</v>
      </c>
      <c r="B73" t="s">
        <v>43</v>
      </c>
      <c r="C73" t="s">
        <v>32</v>
      </c>
      <c r="D73">
        <v>8700</v>
      </c>
      <c r="E73">
        <v>1</v>
      </c>
      <c r="F73">
        <v>1</v>
      </c>
      <c r="G73" t="b">
        <v>1</v>
      </c>
      <c r="H73" t="b">
        <v>0</v>
      </c>
      <c r="I73" t="b">
        <v>0</v>
      </c>
      <c r="J73" t="b">
        <v>1</v>
      </c>
      <c r="K73" t="s">
        <v>30</v>
      </c>
      <c r="L73">
        <v>6.7</v>
      </c>
      <c r="M73">
        <v>4</v>
      </c>
      <c r="N73">
        <v>5</v>
      </c>
      <c r="O73" t="b">
        <v>1</v>
      </c>
      <c r="P73" t="b">
        <v>0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0</v>
      </c>
      <c r="W73" t="b">
        <v>0</v>
      </c>
      <c r="X73" t="b">
        <v>0</v>
      </c>
      <c r="Y73" t="b">
        <f t="shared" si="4"/>
        <v>0</v>
      </c>
      <c r="Z73" t="str">
        <f t="shared" si="5"/>
        <v>4-8層</v>
      </c>
      <c r="AA73" t="b">
        <f t="shared" si="6"/>
        <v>0</v>
      </c>
      <c r="AB73" t="b">
        <f>IF($D73&gt;=VLOOKUP($B73,各行政區平均值!$A:$B,2,0)*1.5,TRUE,FALSE)</f>
        <v>0</v>
      </c>
      <c r="AC73" t="b">
        <f t="shared" si="7"/>
        <v>0</v>
      </c>
    </row>
    <row r="74" spans="1:29" x14ac:dyDescent="0.25">
      <c r="A74" t="s">
        <v>24</v>
      </c>
      <c r="B74" t="s">
        <v>25</v>
      </c>
      <c r="C74" t="s">
        <v>34</v>
      </c>
      <c r="D74">
        <v>6800</v>
      </c>
      <c r="E74">
        <v>1</v>
      </c>
      <c r="F74">
        <v>0</v>
      </c>
      <c r="G74" t="b">
        <v>1</v>
      </c>
      <c r="H74" t="b">
        <v>1</v>
      </c>
      <c r="I74" t="b">
        <v>0</v>
      </c>
      <c r="J74" t="b">
        <v>0</v>
      </c>
      <c r="K74" t="s">
        <v>30</v>
      </c>
      <c r="L74">
        <v>5.3</v>
      </c>
      <c r="M74">
        <v>3</v>
      </c>
      <c r="N74">
        <v>5</v>
      </c>
      <c r="O74" t="b">
        <v>1</v>
      </c>
      <c r="P74" t="b">
        <v>0</v>
      </c>
      <c r="Q74" t="b">
        <v>0</v>
      </c>
      <c r="R74" t="b">
        <v>1</v>
      </c>
      <c r="S74" t="b">
        <v>1</v>
      </c>
      <c r="T74" t="b">
        <v>1</v>
      </c>
      <c r="U74" t="b">
        <v>1</v>
      </c>
      <c r="V74" t="b">
        <v>0</v>
      </c>
      <c r="W74" t="b">
        <v>0</v>
      </c>
      <c r="X74" t="b">
        <v>0</v>
      </c>
      <c r="Y74" t="b">
        <f t="shared" si="4"/>
        <v>0</v>
      </c>
      <c r="Z74" t="str">
        <f t="shared" si="5"/>
        <v>1-3層</v>
      </c>
      <c r="AA74" t="b">
        <f t="shared" si="6"/>
        <v>0</v>
      </c>
      <c r="AB74" t="b">
        <f>IF($D74&gt;=VLOOKUP($B74,各行政區平均值!$A:$B,2,0)*1.5,TRUE,FALSE)</f>
        <v>0</v>
      </c>
      <c r="AC74" t="b">
        <f t="shared" si="7"/>
        <v>0</v>
      </c>
    </row>
    <row r="75" spans="1:29" x14ac:dyDescent="0.25">
      <c r="A75" t="s">
        <v>24</v>
      </c>
      <c r="B75" t="s">
        <v>28</v>
      </c>
      <c r="C75" t="s">
        <v>29</v>
      </c>
      <c r="D75">
        <v>62000</v>
      </c>
      <c r="E75">
        <v>5</v>
      </c>
      <c r="F75">
        <v>3</v>
      </c>
      <c r="G75" t="b">
        <v>1</v>
      </c>
      <c r="H75" t="b">
        <v>0</v>
      </c>
      <c r="I75" t="b">
        <v>1</v>
      </c>
      <c r="J75" t="b">
        <v>0</v>
      </c>
      <c r="K75" t="s">
        <v>27</v>
      </c>
      <c r="L75">
        <v>55</v>
      </c>
      <c r="M75">
        <v>22</v>
      </c>
      <c r="N75">
        <v>28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0</v>
      </c>
      <c r="V75" t="b">
        <v>1</v>
      </c>
      <c r="W75" t="b">
        <v>1</v>
      </c>
      <c r="X75" t="b">
        <v>1</v>
      </c>
      <c r="Y75" t="b">
        <f t="shared" si="4"/>
        <v>1</v>
      </c>
      <c r="Z75" t="str">
        <f t="shared" si="5"/>
        <v>9層以上</v>
      </c>
      <c r="AA75" t="b">
        <f t="shared" si="6"/>
        <v>1</v>
      </c>
      <c r="AB75" t="b">
        <f>IF($D75&gt;=VLOOKUP($B75,各行政區平均值!$A:$B,2,0)*1.5,TRUE,FALSE)</f>
        <v>0</v>
      </c>
      <c r="AC75" t="b">
        <f t="shared" si="7"/>
        <v>0</v>
      </c>
    </row>
    <row r="76" spans="1:29" x14ac:dyDescent="0.25">
      <c r="A76" t="s">
        <v>24</v>
      </c>
      <c r="B76" t="s">
        <v>31</v>
      </c>
      <c r="C76" t="s">
        <v>26</v>
      </c>
      <c r="D76">
        <v>16500</v>
      </c>
      <c r="E76">
        <v>1</v>
      </c>
      <c r="F76">
        <v>1</v>
      </c>
      <c r="G76" t="b">
        <v>1</v>
      </c>
      <c r="H76" t="b">
        <v>1</v>
      </c>
      <c r="I76" t="b">
        <v>0</v>
      </c>
      <c r="J76" t="b">
        <v>0</v>
      </c>
      <c r="K76" t="s">
        <v>27</v>
      </c>
      <c r="L76">
        <v>12.5</v>
      </c>
      <c r="M76">
        <v>10</v>
      </c>
      <c r="N76">
        <v>15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0</v>
      </c>
      <c r="W76" t="b">
        <v>1</v>
      </c>
      <c r="X76" t="b">
        <v>1</v>
      </c>
      <c r="Y76" t="b">
        <f t="shared" si="4"/>
        <v>1</v>
      </c>
      <c r="Z76" t="str">
        <f t="shared" si="5"/>
        <v>9層以上</v>
      </c>
      <c r="AA76" t="b">
        <f t="shared" si="6"/>
        <v>0</v>
      </c>
      <c r="AB76" t="b">
        <f>IF($D76&gt;=VLOOKUP($B76,各行政區平均值!$A:$B,2,0)*1.5,TRUE,FALSE)</f>
        <v>0</v>
      </c>
      <c r="AC76" t="b">
        <f t="shared" si="7"/>
        <v>0</v>
      </c>
    </row>
    <row r="77" spans="1:29" x14ac:dyDescent="0.25">
      <c r="A77" t="s">
        <v>24</v>
      </c>
      <c r="B77" t="s">
        <v>33</v>
      </c>
      <c r="C77" t="s">
        <v>32</v>
      </c>
      <c r="D77">
        <v>11200</v>
      </c>
      <c r="E77">
        <v>1</v>
      </c>
      <c r="F77">
        <v>1</v>
      </c>
      <c r="G77" t="b">
        <v>1</v>
      </c>
      <c r="H77" t="b">
        <v>0</v>
      </c>
      <c r="I77" t="b">
        <v>1</v>
      </c>
      <c r="J77" t="b">
        <v>1</v>
      </c>
      <c r="K77" t="s">
        <v>27</v>
      </c>
      <c r="L77">
        <v>9</v>
      </c>
      <c r="M77">
        <v>6</v>
      </c>
      <c r="N77">
        <v>9</v>
      </c>
      <c r="O77" t="b">
        <v>1</v>
      </c>
      <c r="P77" t="b">
        <v>0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0</v>
      </c>
      <c r="W77" t="b">
        <v>1</v>
      </c>
      <c r="X77" t="b">
        <v>0</v>
      </c>
      <c r="Y77" t="b">
        <f t="shared" si="4"/>
        <v>0</v>
      </c>
      <c r="Z77" t="str">
        <f t="shared" si="5"/>
        <v>4-8層</v>
      </c>
      <c r="AA77" t="b">
        <f t="shared" si="6"/>
        <v>0</v>
      </c>
      <c r="AB77" t="b">
        <f>IF($D77&gt;=VLOOKUP($B77,各行政區平均值!$A:$B,2,0)*1.5,TRUE,FALSE)</f>
        <v>0</v>
      </c>
      <c r="AC77" t="b">
        <f t="shared" si="7"/>
        <v>0</v>
      </c>
    </row>
    <row r="78" spans="1:29" x14ac:dyDescent="0.25">
      <c r="A78" t="s">
        <v>24</v>
      </c>
      <c r="B78" t="s">
        <v>35</v>
      </c>
      <c r="C78" t="s">
        <v>34</v>
      </c>
      <c r="D78">
        <v>6100</v>
      </c>
      <c r="E78">
        <v>1</v>
      </c>
      <c r="F78">
        <v>0</v>
      </c>
      <c r="G78" t="b">
        <v>1</v>
      </c>
      <c r="H78" t="b">
        <v>1</v>
      </c>
      <c r="I78" t="b">
        <v>0</v>
      </c>
      <c r="J78" t="b">
        <v>0</v>
      </c>
      <c r="K78" t="s">
        <v>30</v>
      </c>
      <c r="L78">
        <v>5</v>
      </c>
      <c r="M78">
        <v>2</v>
      </c>
      <c r="N78">
        <v>4</v>
      </c>
      <c r="O78" t="b">
        <v>1</v>
      </c>
      <c r="P78" t="b">
        <v>0</v>
      </c>
      <c r="Q78" t="b">
        <v>0</v>
      </c>
      <c r="R78" t="b">
        <v>1</v>
      </c>
      <c r="S78" t="b">
        <v>1</v>
      </c>
      <c r="T78" t="b">
        <v>1</v>
      </c>
      <c r="U78" t="b">
        <v>1</v>
      </c>
      <c r="V78" t="b">
        <v>0</v>
      </c>
      <c r="W78" t="b">
        <v>0</v>
      </c>
      <c r="X78" t="b">
        <v>0</v>
      </c>
      <c r="Y78" t="b">
        <f t="shared" si="4"/>
        <v>0</v>
      </c>
      <c r="Z78" t="str">
        <f t="shared" si="5"/>
        <v>1-3層</v>
      </c>
      <c r="AA78" t="b">
        <f t="shared" si="6"/>
        <v>0</v>
      </c>
      <c r="AB78" t="b">
        <f>IF($D78&gt;=VLOOKUP($B78,各行政區平均值!$A:$B,2,0)*1.5,TRUE,FALSE)</f>
        <v>0</v>
      </c>
      <c r="AC78" t="b">
        <f t="shared" si="7"/>
        <v>0</v>
      </c>
    </row>
    <row r="79" spans="1:29" x14ac:dyDescent="0.25">
      <c r="A79" t="s">
        <v>24</v>
      </c>
      <c r="B79" t="s">
        <v>36</v>
      </c>
      <c r="C79" t="s">
        <v>29</v>
      </c>
      <c r="D79">
        <v>44000</v>
      </c>
      <c r="E79">
        <v>4</v>
      </c>
      <c r="F79">
        <v>2</v>
      </c>
      <c r="G79" t="b">
        <v>0</v>
      </c>
      <c r="H79" t="b">
        <v>0</v>
      </c>
      <c r="I79" t="b">
        <v>1</v>
      </c>
      <c r="J79" t="b">
        <v>0</v>
      </c>
      <c r="K79" t="s">
        <v>27</v>
      </c>
      <c r="L79">
        <v>38</v>
      </c>
      <c r="M79">
        <v>8</v>
      </c>
      <c r="N79">
        <v>14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0</v>
      </c>
      <c r="V79" t="b">
        <v>1</v>
      </c>
      <c r="W79" t="b">
        <v>1</v>
      </c>
      <c r="X79" t="b">
        <v>1</v>
      </c>
      <c r="Y79" t="b">
        <f t="shared" si="4"/>
        <v>1</v>
      </c>
      <c r="Z79" t="str">
        <f t="shared" si="5"/>
        <v>4-8層</v>
      </c>
      <c r="AA79" t="b">
        <f t="shared" si="6"/>
        <v>1</v>
      </c>
      <c r="AB79" t="b">
        <f>IF($D79&gt;=VLOOKUP($B79,各行政區平均值!$A:$B,2,0)*1.5,TRUE,FALSE)</f>
        <v>0</v>
      </c>
      <c r="AC79" t="b">
        <f t="shared" si="7"/>
        <v>0</v>
      </c>
    </row>
    <row r="80" spans="1:29" x14ac:dyDescent="0.25">
      <c r="A80" t="s">
        <v>24</v>
      </c>
      <c r="B80" t="s">
        <v>37</v>
      </c>
      <c r="C80" t="s">
        <v>26</v>
      </c>
      <c r="D80">
        <v>14800</v>
      </c>
      <c r="E80">
        <v>1</v>
      </c>
      <c r="F80">
        <v>1</v>
      </c>
      <c r="G80" t="b">
        <v>1</v>
      </c>
      <c r="H80" t="b">
        <v>1</v>
      </c>
      <c r="I80" t="b">
        <v>0</v>
      </c>
      <c r="J80" t="b">
        <v>0</v>
      </c>
      <c r="K80" t="s">
        <v>30</v>
      </c>
      <c r="L80">
        <v>11.2</v>
      </c>
      <c r="M80">
        <v>5</v>
      </c>
      <c r="N80">
        <v>5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  <c r="W80" t="b">
        <v>0</v>
      </c>
      <c r="X80" t="b">
        <v>1</v>
      </c>
      <c r="Y80" t="b">
        <f t="shared" si="4"/>
        <v>1</v>
      </c>
      <c r="Z80" t="str">
        <f t="shared" si="5"/>
        <v>4-8層</v>
      </c>
      <c r="AA80" t="b">
        <f t="shared" si="6"/>
        <v>0</v>
      </c>
      <c r="AB80" t="b">
        <f>IF($D80&gt;=VLOOKUP($B80,各行政區平均值!$A:$B,2,0)*1.5,TRUE,FALSE)</f>
        <v>0</v>
      </c>
      <c r="AC80" t="b">
        <f t="shared" si="7"/>
        <v>0</v>
      </c>
    </row>
    <row r="81" spans="1:29" x14ac:dyDescent="0.25">
      <c r="A81" t="s">
        <v>24</v>
      </c>
      <c r="B81" t="s">
        <v>39</v>
      </c>
      <c r="C81" t="s">
        <v>32</v>
      </c>
      <c r="D81">
        <v>8200</v>
      </c>
      <c r="E81">
        <v>1</v>
      </c>
      <c r="F81">
        <v>1</v>
      </c>
      <c r="G81" t="b">
        <v>0</v>
      </c>
      <c r="H81" t="b">
        <v>0</v>
      </c>
      <c r="I81" t="b">
        <v>0</v>
      </c>
      <c r="J81" t="b">
        <v>0</v>
      </c>
      <c r="K81" t="s">
        <v>30</v>
      </c>
      <c r="L81">
        <v>6.2</v>
      </c>
      <c r="M81">
        <v>4</v>
      </c>
      <c r="N81">
        <v>5</v>
      </c>
      <c r="O81" t="b">
        <v>1</v>
      </c>
      <c r="P81" t="b">
        <v>0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0</v>
      </c>
      <c r="W81" t="b">
        <v>0</v>
      </c>
      <c r="X81" t="b">
        <v>0</v>
      </c>
      <c r="Y81" t="b">
        <f t="shared" si="4"/>
        <v>0</v>
      </c>
      <c r="Z81" t="str">
        <f t="shared" si="5"/>
        <v>4-8層</v>
      </c>
      <c r="AA81" t="b">
        <f t="shared" si="6"/>
        <v>0</v>
      </c>
      <c r="AB81" t="b">
        <f>IF($D81&gt;=VLOOKUP($B81,各行政區平均值!$A:$B,2,0)*1.5,TRUE,FALSE)</f>
        <v>0</v>
      </c>
      <c r="AC81" t="b">
        <f t="shared" si="7"/>
        <v>0</v>
      </c>
    </row>
    <row r="82" spans="1:29" x14ac:dyDescent="0.25">
      <c r="A82" t="s">
        <v>24</v>
      </c>
      <c r="B82" t="s">
        <v>40</v>
      </c>
      <c r="C82" t="s">
        <v>34</v>
      </c>
      <c r="D82">
        <v>4500</v>
      </c>
      <c r="E82">
        <v>1</v>
      </c>
      <c r="F82">
        <v>0</v>
      </c>
      <c r="G82" t="b">
        <v>1</v>
      </c>
      <c r="H82" t="b">
        <v>1</v>
      </c>
      <c r="I82" t="b">
        <v>1</v>
      </c>
      <c r="J82" t="b">
        <v>1</v>
      </c>
      <c r="K82" t="s">
        <v>30</v>
      </c>
      <c r="L82">
        <v>3.3</v>
      </c>
      <c r="M82">
        <v>1</v>
      </c>
      <c r="N82">
        <v>4</v>
      </c>
      <c r="O82" t="b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f t="shared" si="4"/>
        <v>0</v>
      </c>
      <c r="Z82" t="str">
        <f t="shared" si="5"/>
        <v>1-3層</v>
      </c>
      <c r="AA82" t="b">
        <f t="shared" si="6"/>
        <v>0</v>
      </c>
      <c r="AB82" t="b">
        <f>IF($D82&gt;=VLOOKUP($B82,各行政區平均值!$A:$B,2,0)*1.5,TRUE,FALSE)</f>
        <v>0</v>
      </c>
      <c r="AC82" t="b">
        <f t="shared" si="7"/>
        <v>0</v>
      </c>
    </row>
    <row r="83" spans="1:29" x14ac:dyDescent="0.25">
      <c r="A83" t="s">
        <v>24</v>
      </c>
      <c r="B83" t="s">
        <v>41</v>
      </c>
      <c r="C83" t="s">
        <v>29</v>
      </c>
      <c r="D83">
        <v>24000</v>
      </c>
      <c r="E83">
        <v>2</v>
      </c>
      <c r="F83">
        <v>1</v>
      </c>
      <c r="G83" t="b">
        <v>1</v>
      </c>
      <c r="H83" t="b">
        <v>0</v>
      </c>
      <c r="I83" t="b">
        <v>0</v>
      </c>
      <c r="J83" t="b">
        <v>0</v>
      </c>
      <c r="K83" t="s">
        <v>30</v>
      </c>
      <c r="L83">
        <v>19</v>
      </c>
      <c r="M83">
        <v>3</v>
      </c>
      <c r="N83">
        <v>5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0</v>
      </c>
      <c r="V83" t="b">
        <v>0</v>
      </c>
      <c r="W83" t="b">
        <v>0</v>
      </c>
      <c r="X83" t="b">
        <v>1</v>
      </c>
      <c r="Y83" t="b">
        <f t="shared" si="4"/>
        <v>1</v>
      </c>
      <c r="Z83" t="str">
        <f t="shared" si="5"/>
        <v>1-3層</v>
      </c>
      <c r="AA83" t="b">
        <f t="shared" si="6"/>
        <v>0</v>
      </c>
      <c r="AB83" t="b">
        <f>IF($D83&gt;=VLOOKUP($B83,各行政區平均值!$A:$B,2,0)*1.5,TRUE,FALSE)</f>
        <v>0</v>
      </c>
      <c r="AC83" t="b">
        <f t="shared" si="7"/>
        <v>0</v>
      </c>
    </row>
    <row r="84" spans="1:29" x14ac:dyDescent="0.25">
      <c r="A84" t="s">
        <v>24</v>
      </c>
      <c r="B84" t="s">
        <v>42</v>
      </c>
      <c r="C84" t="s">
        <v>26</v>
      </c>
      <c r="D84">
        <v>13800</v>
      </c>
      <c r="E84">
        <v>1</v>
      </c>
      <c r="F84">
        <v>1</v>
      </c>
      <c r="G84" t="b">
        <v>1</v>
      </c>
      <c r="H84" t="b">
        <v>1</v>
      </c>
      <c r="I84" t="b">
        <v>0</v>
      </c>
      <c r="J84" t="b">
        <v>0</v>
      </c>
      <c r="K84" t="s">
        <v>27</v>
      </c>
      <c r="L84">
        <v>10</v>
      </c>
      <c r="M84">
        <v>7</v>
      </c>
      <c r="N84">
        <v>12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0</v>
      </c>
      <c r="W84" t="b">
        <v>1</v>
      </c>
      <c r="X84" t="b">
        <v>1</v>
      </c>
      <c r="Y84" t="b">
        <f t="shared" si="4"/>
        <v>1</v>
      </c>
      <c r="Z84" t="str">
        <f t="shared" si="5"/>
        <v>4-8層</v>
      </c>
      <c r="AA84" t="b">
        <f t="shared" si="6"/>
        <v>0</v>
      </c>
      <c r="AB84" t="b">
        <f>IF($D84&gt;=VLOOKUP($B84,各行政區平均值!$A:$B,2,0)*1.5,TRUE,FALSE)</f>
        <v>0</v>
      </c>
      <c r="AC84" t="b">
        <f t="shared" si="7"/>
        <v>0</v>
      </c>
    </row>
    <row r="85" spans="1:29" x14ac:dyDescent="0.25">
      <c r="A85" t="s">
        <v>24</v>
      </c>
      <c r="B85" t="s">
        <v>43</v>
      </c>
      <c r="C85" t="s">
        <v>32</v>
      </c>
      <c r="D85">
        <v>9000</v>
      </c>
      <c r="E85">
        <v>1</v>
      </c>
      <c r="F85">
        <v>1</v>
      </c>
      <c r="G85" t="b">
        <v>1</v>
      </c>
      <c r="H85" t="b">
        <v>0</v>
      </c>
      <c r="I85" t="b">
        <v>0</v>
      </c>
      <c r="J85" t="b">
        <v>1</v>
      </c>
      <c r="K85" t="s">
        <v>30</v>
      </c>
      <c r="L85">
        <v>7.3</v>
      </c>
      <c r="M85">
        <v>3</v>
      </c>
      <c r="N85">
        <v>5</v>
      </c>
      <c r="O85" t="b">
        <v>1</v>
      </c>
      <c r="P85" t="b">
        <v>0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0</v>
      </c>
      <c r="W85" t="b">
        <v>0</v>
      </c>
      <c r="X85" t="b">
        <v>0</v>
      </c>
      <c r="Y85" t="b">
        <f t="shared" si="4"/>
        <v>0</v>
      </c>
      <c r="Z85" t="str">
        <f t="shared" si="5"/>
        <v>1-3層</v>
      </c>
      <c r="AA85" t="b">
        <f t="shared" si="6"/>
        <v>0</v>
      </c>
      <c r="AB85" t="b">
        <f>IF($D85&gt;=VLOOKUP($B85,各行政區平均值!$A:$B,2,0)*1.5,TRUE,FALSE)</f>
        <v>0</v>
      </c>
      <c r="AC85" t="b">
        <f t="shared" si="7"/>
        <v>0</v>
      </c>
    </row>
    <row r="86" spans="1:29" x14ac:dyDescent="0.25">
      <c r="A86" t="s">
        <v>24</v>
      </c>
      <c r="B86" t="s">
        <v>25</v>
      </c>
      <c r="C86" t="s">
        <v>34</v>
      </c>
      <c r="D86">
        <v>6900</v>
      </c>
      <c r="E86">
        <v>1</v>
      </c>
      <c r="F86">
        <v>0</v>
      </c>
      <c r="G86" t="b">
        <v>1</v>
      </c>
      <c r="H86" t="b">
        <v>1</v>
      </c>
      <c r="I86" t="b">
        <v>0</v>
      </c>
      <c r="J86" t="b">
        <v>0</v>
      </c>
      <c r="K86" t="s">
        <v>30</v>
      </c>
      <c r="L86">
        <v>5.6</v>
      </c>
      <c r="M86">
        <v>4</v>
      </c>
      <c r="N86">
        <v>5</v>
      </c>
      <c r="O86" t="b">
        <v>1</v>
      </c>
      <c r="P86" t="b">
        <v>0</v>
      </c>
      <c r="Q86" t="b">
        <v>0</v>
      </c>
      <c r="R86" t="b">
        <v>1</v>
      </c>
      <c r="S86" t="b">
        <v>1</v>
      </c>
      <c r="T86" t="b">
        <v>1</v>
      </c>
      <c r="U86" t="b">
        <v>1</v>
      </c>
      <c r="V86" t="b">
        <v>0</v>
      </c>
      <c r="W86" t="b">
        <v>0</v>
      </c>
      <c r="X86" t="b">
        <v>0</v>
      </c>
      <c r="Y86" t="b">
        <f t="shared" si="4"/>
        <v>0</v>
      </c>
      <c r="Z86" t="str">
        <f t="shared" si="5"/>
        <v>4-8層</v>
      </c>
      <c r="AA86" t="b">
        <f t="shared" si="6"/>
        <v>0</v>
      </c>
      <c r="AB86" t="b">
        <f>IF($D86&gt;=VLOOKUP($B86,各行政區平均值!$A:$B,2,0)*1.5,TRUE,FALSE)</f>
        <v>0</v>
      </c>
      <c r="AC86" t="b">
        <f t="shared" si="7"/>
        <v>0</v>
      </c>
    </row>
    <row r="87" spans="1:29" x14ac:dyDescent="0.25">
      <c r="A87" t="s">
        <v>24</v>
      </c>
      <c r="B87" t="s">
        <v>28</v>
      </c>
      <c r="C87" t="s">
        <v>29</v>
      </c>
      <c r="D87">
        <v>68000</v>
      </c>
      <c r="E87">
        <v>5</v>
      </c>
      <c r="F87">
        <v>3</v>
      </c>
      <c r="G87" t="b">
        <v>1</v>
      </c>
      <c r="H87" t="b">
        <v>0</v>
      </c>
      <c r="I87" t="b">
        <v>1</v>
      </c>
      <c r="J87" t="b">
        <v>0</v>
      </c>
      <c r="K87" t="s">
        <v>27</v>
      </c>
      <c r="L87">
        <v>60</v>
      </c>
      <c r="M87">
        <v>25</v>
      </c>
      <c r="N87">
        <v>30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0</v>
      </c>
      <c r="V87" t="b">
        <v>1</v>
      </c>
      <c r="W87" t="b">
        <v>1</v>
      </c>
      <c r="X87" t="b">
        <v>1</v>
      </c>
      <c r="Y87" t="b">
        <f t="shared" si="4"/>
        <v>1</v>
      </c>
      <c r="Z87" t="str">
        <f t="shared" si="5"/>
        <v>9層以上</v>
      </c>
      <c r="AA87" t="b">
        <f t="shared" si="6"/>
        <v>1</v>
      </c>
      <c r="AB87" t="b">
        <f>IF($D87&gt;=VLOOKUP($B87,各行政區平均值!$A:$B,2,0)*1.5,TRUE,FALSE)</f>
        <v>1</v>
      </c>
      <c r="AC87" t="b">
        <f t="shared" si="7"/>
        <v>1</v>
      </c>
    </row>
    <row r="88" spans="1:29" x14ac:dyDescent="0.25">
      <c r="A88" t="s">
        <v>24</v>
      </c>
      <c r="B88" t="s">
        <v>31</v>
      </c>
      <c r="C88" t="s">
        <v>26</v>
      </c>
      <c r="D88">
        <v>17200</v>
      </c>
      <c r="E88">
        <v>1</v>
      </c>
      <c r="F88">
        <v>1</v>
      </c>
      <c r="G88" t="b">
        <v>1</v>
      </c>
      <c r="H88" t="b">
        <v>1</v>
      </c>
      <c r="I88" t="b">
        <v>1</v>
      </c>
      <c r="J88" t="b">
        <v>0</v>
      </c>
      <c r="K88" t="s">
        <v>27</v>
      </c>
      <c r="L88">
        <v>13</v>
      </c>
      <c r="M88">
        <v>11</v>
      </c>
      <c r="N88">
        <v>16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0</v>
      </c>
      <c r="W88" t="b">
        <v>1</v>
      </c>
      <c r="X88" t="b">
        <v>1</v>
      </c>
      <c r="Y88" t="b">
        <f t="shared" si="4"/>
        <v>1</v>
      </c>
      <c r="Z88" t="str">
        <f t="shared" si="5"/>
        <v>9層以上</v>
      </c>
      <c r="AA88" t="b">
        <f t="shared" si="6"/>
        <v>0</v>
      </c>
      <c r="AB88" t="b">
        <f>IF($D88&gt;=VLOOKUP($B88,各行政區平均值!$A:$B,2,0)*1.5,TRUE,FALSE)</f>
        <v>0</v>
      </c>
      <c r="AC88" t="b">
        <f t="shared" si="7"/>
        <v>0</v>
      </c>
    </row>
    <row r="89" spans="1:29" x14ac:dyDescent="0.25">
      <c r="A89" t="s">
        <v>24</v>
      </c>
      <c r="B89" t="s">
        <v>33</v>
      </c>
      <c r="C89" t="s">
        <v>32</v>
      </c>
      <c r="D89">
        <v>11800</v>
      </c>
      <c r="E89">
        <v>1</v>
      </c>
      <c r="F89">
        <v>1</v>
      </c>
      <c r="G89" t="b">
        <v>1</v>
      </c>
      <c r="H89" t="b">
        <v>0</v>
      </c>
      <c r="I89" t="b">
        <v>0</v>
      </c>
      <c r="J89" t="b">
        <v>1</v>
      </c>
      <c r="K89" t="s">
        <v>27</v>
      </c>
      <c r="L89">
        <v>9.5</v>
      </c>
      <c r="M89">
        <v>7</v>
      </c>
      <c r="N89">
        <v>10</v>
      </c>
      <c r="O89" t="b">
        <v>1</v>
      </c>
      <c r="P89" t="b">
        <v>0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0</v>
      </c>
      <c r="W89" t="b">
        <v>1</v>
      </c>
      <c r="X89" t="b">
        <v>0</v>
      </c>
      <c r="Y89" t="b">
        <f t="shared" si="4"/>
        <v>0</v>
      </c>
      <c r="Z89" t="str">
        <f t="shared" si="5"/>
        <v>4-8層</v>
      </c>
      <c r="AA89" t="b">
        <f t="shared" si="6"/>
        <v>0</v>
      </c>
      <c r="AB89" t="b">
        <f>IF($D89&gt;=VLOOKUP($B89,各行政區平均值!$A:$B,2,0)*1.5,TRUE,FALSE)</f>
        <v>0</v>
      </c>
      <c r="AC89" t="b">
        <f t="shared" si="7"/>
        <v>0</v>
      </c>
    </row>
    <row r="90" spans="1:29" x14ac:dyDescent="0.25">
      <c r="A90" t="s">
        <v>24</v>
      </c>
      <c r="B90" t="s">
        <v>35</v>
      </c>
      <c r="C90" t="s">
        <v>34</v>
      </c>
      <c r="D90">
        <v>6300</v>
      </c>
      <c r="E90">
        <v>1</v>
      </c>
      <c r="F90">
        <v>0</v>
      </c>
      <c r="G90" t="b">
        <v>1</v>
      </c>
      <c r="H90" t="b">
        <v>1</v>
      </c>
      <c r="I90" t="b">
        <v>0</v>
      </c>
      <c r="J90" t="b">
        <v>0</v>
      </c>
      <c r="K90" t="s">
        <v>30</v>
      </c>
      <c r="L90">
        <v>5.0999999999999996</v>
      </c>
      <c r="M90">
        <v>2</v>
      </c>
      <c r="N90">
        <v>4</v>
      </c>
      <c r="O90" t="b">
        <v>1</v>
      </c>
      <c r="P90" t="b">
        <v>0</v>
      </c>
      <c r="Q90" t="b">
        <v>0</v>
      </c>
      <c r="R90" t="b">
        <v>1</v>
      </c>
      <c r="S90" t="b">
        <v>1</v>
      </c>
      <c r="T90" t="b">
        <v>1</v>
      </c>
      <c r="U90" t="b">
        <v>1</v>
      </c>
      <c r="V90" t="b">
        <v>0</v>
      </c>
      <c r="W90" t="b">
        <v>0</v>
      </c>
      <c r="X90" t="b">
        <v>0</v>
      </c>
      <c r="Y90" t="b">
        <f t="shared" si="4"/>
        <v>0</v>
      </c>
      <c r="Z90" t="str">
        <f t="shared" si="5"/>
        <v>1-3層</v>
      </c>
      <c r="AA90" t="b">
        <f t="shared" si="6"/>
        <v>0</v>
      </c>
      <c r="AB90" t="b">
        <f>IF($D90&gt;=VLOOKUP($B90,各行政區平均值!$A:$B,2,0)*1.5,TRUE,FALSE)</f>
        <v>0</v>
      </c>
      <c r="AC90" t="b">
        <f t="shared" si="7"/>
        <v>0</v>
      </c>
    </row>
    <row r="91" spans="1:29" x14ac:dyDescent="0.25">
      <c r="A91" t="s">
        <v>24</v>
      </c>
      <c r="B91" t="s">
        <v>36</v>
      </c>
      <c r="C91" t="s">
        <v>29</v>
      </c>
      <c r="D91">
        <v>48000</v>
      </c>
      <c r="E91">
        <v>4</v>
      </c>
      <c r="F91">
        <v>2</v>
      </c>
      <c r="G91" t="b">
        <v>0</v>
      </c>
      <c r="H91" t="b">
        <v>0</v>
      </c>
      <c r="I91" t="b">
        <v>1</v>
      </c>
      <c r="J91" t="b">
        <v>0</v>
      </c>
      <c r="K91" t="s">
        <v>27</v>
      </c>
      <c r="L91">
        <v>42</v>
      </c>
      <c r="M91">
        <v>9</v>
      </c>
      <c r="N91">
        <v>15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0</v>
      </c>
      <c r="V91" t="b">
        <v>1</v>
      </c>
      <c r="W91" t="b">
        <v>1</v>
      </c>
      <c r="X91" t="b">
        <v>1</v>
      </c>
      <c r="Y91" t="b">
        <f t="shared" si="4"/>
        <v>1</v>
      </c>
      <c r="Z91" t="str">
        <f t="shared" si="5"/>
        <v>9層以上</v>
      </c>
      <c r="AA91" t="b">
        <f t="shared" si="6"/>
        <v>1</v>
      </c>
      <c r="AB91" t="b">
        <f>IF($D91&gt;=VLOOKUP($B91,各行政區平均值!$A:$B,2,0)*1.5,TRUE,FALSE)</f>
        <v>1</v>
      </c>
      <c r="AC91" t="b">
        <f t="shared" si="7"/>
        <v>1</v>
      </c>
    </row>
    <row r="92" spans="1:29" x14ac:dyDescent="0.25">
      <c r="A92" t="s">
        <v>24</v>
      </c>
      <c r="B92" t="s">
        <v>37</v>
      </c>
      <c r="C92" t="s">
        <v>26</v>
      </c>
      <c r="D92">
        <v>15800</v>
      </c>
      <c r="E92">
        <v>1</v>
      </c>
      <c r="F92">
        <v>1</v>
      </c>
      <c r="G92" t="b">
        <v>1</v>
      </c>
      <c r="H92" t="b">
        <v>1</v>
      </c>
      <c r="I92" t="b">
        <v>0</v>
      </c>
      <c r="J92" t="b">
        <v>0</v>
      </c>
      <c r="K92" t="s">
        <v>30</v>
      </c>
      <c r="L92">
        <v>12</v>
      </c>
      <c r="M92">
        <v>4</v>
      </c>
      <c r="N92">
        <v>5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0</v>
      </c>
      <c r="W92" t="b">
        <v>0</v>
      </c>
      <c r="X92" t="b">
        <v>1</v>
      </c>
      <c r="Y92" t="b">
        <f t="shared" si="4"/>
        <v>1</v>
      </c>
      <c r="Z92" t="str">
        <f t="shared" si="5"/>
        <v>4-8層</v>
      </c>
      <c r="AA92" t="b">
        <f t="shared" si="6"/>
        <v>0</v>
      </c>
      <c r="AB92" t="b">
        <f>IF($D92&gt;=VLOOKUP($B92,各行政區平均值!$A:$B,2,0)*1.5,TRUE,FALSE)</f>
        <v>0</v>
      </c>
      <c r="AC92" t="b">
        <f t="shared" si="7"/>
        <v>0</v>
      </c>
    </row>
    <row r="93" spans="1:29" x14ac:dyDescent="0.25">
      <c r="A93" t="s">
        <v>24</v>
      </c>
      <c r="B93" t="s">
        <v>39</v>
      </c>
      <c r="C93" t="s">
        <v>32</v>
      </c>
      <c r="D93">
        <v>8400</v>
      </c>
      <c r="E93">
        <v>1</v>
      </c>
      <c r="F93">
        <v>1</v>
      </c>
      <c r="G93" t="b">
        <v>0</v>
      </c>
      <c r="H93" t="b">
        <v>0</v>
      </c>
      <c r="I93" t="b">
        <v>1</v>
      </c>
      <c r="J93" t="b">
        <v>0</v>
      </c>
      <c r="K93" t="s">
        <v>30</v>
      </c>
      <c r="L93">
        <v>6.4</v>
      </c>
      <c r="M93">
        <v>3</v>
      </c>
      <c r="N93">
        <v>5</v>
      </c>
      <c r="O93" t="b">
        <v>1</v>
      </c>
      <c r="P93" t="b">
        <v>0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0</v>
      </c>
      <c r="W93" t="b">
        <v>0</v>
      </c>
      <c r="X93" t="b">
        <v>0</v>
      </c>
      <c r="Y93" t="b">
        <f t="shared" si="4"/>
        <v>0</v>
      </c>
      <c r="Z93" t="str">
        <f t="shared" si="5"/>
        <v>1-3層</v>
      </c>
      <c r="AA93" t="b">
        <f t="shared" si="6"/>
        <v>0</v>
      </c>
      <c r="AB93" t="b">
        <f>IF($D93&gt;=VLOOKUP($B93,各行政區平均值!$A:$B,2,0)*1.5,TRUE,FALSE)</f>
        <v>0</v>
      </c>
      <c r="AC93" t="b">
        <f t="shared" si="7"/>
        <v>0</v>
      </c>
    </row>
    <row r="94" spans="1:29" x14ac:dyDescent="0.25">
      <c r="A94" t="s">
        <v>24</v>
      </c>
      <c r="B94" t="s">
        <v>40</v>
      </c>
      <c r="C94" t="s">
        <v>34</v>
      </c>
      <c r="D94">
        <v>4400</v>
      </c>
      <c r="E94">
        <v>1</v>
      </c>
      <c r="F94">
        <v>0</v>
      </c>
      <c r="G94" t="b">
        <v>1</v>
      </c>
      <c r="H94" t="b">
        <v>1</v>
      </c>
      <c r="I94" t="b">
        <v>0</v>
      </c>
      <c r="J94" t="b">
        <v>1</v>
      </c>
      <c r="K94" t="s">
        <v>30</v>
      </c>
      <c r="L94">
        <v>3.2</v>
      </c>
      <c r="M94">
        <v>1</v>
      </c>
      <c r="N94">
        <v>4</v>
      </c>
      <c r="O94" t="b">
        <v>0</v>
      </c>
      <c r="P94" t="b">
        <v>0</v>
      </c>
      <c r="Q94" t="b">
        <v>0</v>
      </c>
      <c r="R94" t="b">
        <v>1</v>
      </c>
      <c r="S94" t="b">
        <v>1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f t="shared" si="4"/>
        <v>0</v>
      </c>
      <c r="Z94" t="str">
        <f t="shared" si="5"/>
        <v>1-3層</v>
      </c>
      <c r="AA94" t="b">
        <f t="shared" si="6"/>
        <v>0</v>
      </c>
      <c r="AB94" t="b">
        <f>IF($D94&gt;=VLOOKUP($B94,各行政區平均值!$A:$B,2,0)*1.5,TRUE,FALSE)</f>
        <v>0</v>
      </c>
      <c r="AC94" t="b">
        <f t="shared" si="7"/>
        <v>0</v>
      </c>
    </row>
    <row r="95" spans="1:29" x14ac:dyDescent="0.25">
      <c r="A95" t="s">
        <v>24</v>
      </c>
      <c r="B95" t="s">
        <v>41</v>
      </c>
      <c r="C95" t="s">
        <v>29</v>
      </c>
      <c r="D95">
        <v>27000</v>
      </c>
      <c r="E95">
        <v>3</v>
      </c>
      <c r="F95">
        <v>2</v>
      </c>
      <c r="G95" t="b">
        <v>1</v>
      </c>
      <c r="H95" t="b">
        <v>0</v>
      </c>
      <c r="I95" t="b">
        <v>0</v>
      </c>
      <c r="J95" t="b">
        <v>0</v>
      </c>
      <c r="K95" t="s">
        <v>30</v>
      </c>
      <c r="L95">
        <v>23</v>
      </c>
      <c r="M95">
        <v>2</v>
      </c>
      <c r="N95">
        <v>5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0</v>
      </c>
      <c r="V95" t="b">
        <v>0</v>
      </c>
      <c r="W95" t="b">
        <v>0</v>
      </c>
      <c r="X95" t="b">
        <v>1</v>
      </c>
      <c r="Y95" t="b">
        <f t="shared" si="4"/>
        <v>1</v>
      </c>
      <c r="Z95" t="str">
        <f t="shared" si="5"/>
        <v>1-3層</v>
      </c>
      <c r="AA95" t="b">
        <f t="shared" si="6"/>
        <v>0</v>
      </c>
      <c r="AB95" t="b">
        <f>IF($D95&gt;=VLOOKUP($B95,各行政區平均值!$A:$B,2,0)*1.5,TRUE,FALSE)</f>
        <v>1</v>
      </c>
      <c r="AC95" t="b">
        <f t="shared" si="7"/>
        <v>0</v>
      </c>
    </row>
    <row r="96" spans="1:29" x14ac:dyDescent="0.25">
      <c r="A96" t="s">
        <v>24</v>
      </c>
      <c r="B96" t="s">
        <v>42</v>
      </c>
      <c r="C96" t="s">
        <v>26</v>
      </c>
      <c r="D96">
        <v>14800</v>
      </c>
      <c r="E96">
        <v>1</v>
      </c>
      <c r="F96">
        <v>1</v>
      </c>
      <c r="G96" t="b">
        <v>1</v>
      </c>
      <c r="H96" t="b">
        <v>1</v>
      </c>
      <c r="I96" t="b">
        <v>1</v>
      </c>
      <c r="J96" t="b">
        <v>0</v>
      </c>
      <c r="K96" t="s">
        <v>27</v>
      </c>
      <c r="L96">
        <v>11.8</v>
      </c>
      <c r="M96">
        <v>8</v>
      </c>
      <c r="N96">
        <v>12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0</v>
      </c>
      <c r="W96" t="b">
        <v>1</v>
      </c>
      <c r="X96" t="b">
        <v>1</v>
      </c>
      <c r="Y96" t="b">
        <f t="shared" si="4"/>
        <v>1</v>
      </c>
      <c r="Z96" t="str">
        <f t="shared" si="5"/>
        <v>4-8層</v>
      </c>
      <c r="AA96" t="b">
        <f t="shared" si="6"/>
        <v>0</v>
      </c>
      <c r="AB96" t="b">
        <f>IF($D96&gt;=VLOOKUP($B96,各行政區平均值!$A:$B,2,0)*1.5,TRUE,FALSE)</f>
        <v>0</v>
      </c>
      <c r="AC96" t="b">
        <f t="shared" si="7"/>
        <v>0</v>
      </c>
    </row>
    <row r="97" spans="1:29" x14ac:dyDescent="0.25">
      <c r="A97" t="s">
        <v>24</v>
      </c>
      <c r="B97" t="s">
        <v>43</v>
      </c>
      <c r="C97" t="s">
        <v>32</v>
      </c>
      <c r="D97">
        <v>9300</v>
      </c>
      <c r="E97">
        <v>1</v>
      </c>
      <c r="F97">
        <v>1</v>
      </c>
      <c r="G97" t="b">
        <v>1</v>
      </c>
      <c r="H97" t="b">
        <v>0</v>
      </c>
      <c r="I97" t="b">
        <v>0</v>
      </c>
      <c r="J97" t="b">
        <v>1</v>
      </c>
      <c r="K97" t="s">
        <v>30</v>
      </c>
      <c r="L97">
        <v>7.1</v>
      </c>
      <c r="M97">
        <v>4</v>
      </c>
      <c r="N97">
        <v>5</v>
      </c>
      <c r="O97" t="b">
        <v>1</v>
      </c>
      <c r="P97" t="b">
        <v>0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0</v>
      </c>
      <c r="W97" t="b">
        <v>0</v>
      </c>
      <c r="X97" t="b">
        <v>0</v>
      </c>
      <c r="Y97" t="b">
        <f t="shared" si="4"/>
        <v>0</v>
      </c>
      <c r="Z97" t="str">
        <f t="shared" si="5"/>
        <v>4-8層</v>
      </c>
      <c r="AA97" t="b">
        <f t="shared" si="6"/>
        <v>0</v>
      </c>
      <c r="AB97" t="b">
        <f>IF($D97&gt;=VLOOKUP($B97,各行政區平均值!$A:$B,2,0)*1.5,TRUE,FALSE)</f>
        <v>0</v>
      </c>
      <c r="AC97" t="b">
        <f t="shared" si="7"/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DBA83-6A3B-4D32-885B-6577EA51B9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1</vt:i4>
      </vt:variant>
    </vt:vector>
  </HeadingPairs>
  <TitlesOfParts>
    <vt:vector size="11" baseType="lpstr">
      <vt:lpstr>CSV假資料 (3)</vt:lpstr>
      <vt:lpstr>工作表6</vt:lpstr>
      <vt:lpstr>工作表7</vt:lpstr>
      <vt:lpstr>工作表9</vt:lpstr>
      <vt:lpstr>工作表10</vt:lpstr>
      <vt:lpstr>各行政區平均值</vt:lpstr>
      <vt:lpstr>Q10</vt:lpstr>
      <vt:lpstr>工作表1</vt:lpstr>
      <vt:lpstr>工作表2</vt:lpstr>
      <vt:lpstr>工作表4</vt:lpstr>
      <vt:lpstr>工作表7!Print_Titles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藝瑄 栗</dc:creator>
  <cp:lastModifiedBy>藝瑄 栗</cp:lastModifiedBy>
  <dcterms:created xsi:type="dcterms:W3CDTF">2025-11-17T06:31:13Z</dcterms:created>
  <dcterms:modified xsi:type="dcterms:W3CDTF">2025-11-20T11:11:31Z</dcterms:modified>
</cp:coreProperties>
</file>